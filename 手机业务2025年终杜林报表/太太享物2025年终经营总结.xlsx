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16094\Desktop\fsdownload\Monthly-Operations-Data-Dashboard\手机业务2025年终杜林报表\"/>
    </mc:Choice>
  </mc:AlternateContent>
  <xr:revisionPtr revIDLastSave="0" documentId="13_ncr:1_{35DD0BBD-22F5-482F-95A9-A04EBDDD44F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U11" i="1" l="1"/>
  <c r="D12" i="1"/>
  <c r="E12" i="1"/>
  <c r="F12" i="1"/>
  <c r="G12" i="1"/>
  <c r="K12" i="1"/>
  <c r="U12" i="1"/>
  <c r="H11" i="1"/>
  <c r="H12" i="1" s="1"/>
  <c r="I11" i="1"/>
  <c r="I12" i="1" s="1"/>
  <c r="J11" i="1"/>
  <c r="J12" i="1" s="1"/>
  <c r="K11" i="1"/>
  <c r="L11" i="1"/>
  <c r="L12" i="1" s="1"/>
  <c r="M11" i="1"/>
  <c r="M12" i="1" s="1"/>
  <c r="N11" i="1"/>
  <c r="N12" i="1" s="1"/>
  <c r="O11" i="1"/>
  <c r="O12" i="1" s="1"/>
  <c r="P11" i="1"/>
  <c r="P12" i="1" s="1"/>
  <c r="Q11" i="1"/>
  <c r="Q12" i="1" s="1"/>
  <c r="R11" i="1"/>
  <c r="R12" i="1" s="1"/>
  <c r="S11" i="1"/>
  <c r="S12" i="1" s="1"/>
  <c r="T11" i="1"/>
  <c r="T12" i="1" s="1"/>
  <c r="G11" i="1"/>
  <c r="E11" i="1"/>
  <c r="T8" i="1"/>
  <c r="T7" i="1"/>
  <c r="T46" i="1"/>
  <c r="D45" i="1"/>
  <c r="D46" i="1" s="1"/>
  <c r="E45" i="1"/>
  <c r="F45" i="1"/>
  <c r="G45" i="1"/>
  <c r="H45" i="1"/>
  <c r="I45" i="1"/>
  <c r="J45" i="1"/>
  <c r="K45" i="1"/>
  <c r="L45" i="1"/>
  <c r="M45" i="1"/>
  <c r="D11" i="1"/>
  <c r="F11" i="1"/>
  <c r="E46" i="1" l="1"/>
  <c r="F46" i="1" l="1"/>
  <c r="G46" i="1" s="1"/>
  <c r="H46" i="1" s="1"/>
  <c r="E48" i="1"/>
  <c r="I46" i="1"/>
  <c r="J46" i="1" l="1"/>
  <c r="K46" i="1" l="1"/>
  <c r="L46" i="1" l="1"/>
  <c r="M46" i="1" l="1"/>
  <c r="N45" i="1"/>
  <c r="N46" i="1" s="1"/>
  <c r="O46" i="1" l="1"/>
  <c r="P46" i="1" s="1"/>
  <c r="Q46" i="1" s="1"/>
  <c r="R46" i="1" s="1"/>
  <c r="S46" i="1" s="1"/>
</calcChain>
</file>

<file path=xl/sharedStrings.xml><?xml version="1.0" encoding="utf-8"?>
<sst xmlns="http://schemas.openxmlformats.org/spreadsheetml/2006/main" count="531" uniqueCount="236">
  <si>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</si>
  <si>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</si>
  <si>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</si>
  <si>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</si>
  <si>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</si>
  <si>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</si>
  <si>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</si>
  <si>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</si>
  <si>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</si>
  <si>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</si>
  <si>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</si>
  <si>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</si>
  <si>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</si>
  <si>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利润金额</t>
  </si>
  <si>
    <t>利润率</t>
  </si>
  <si>
    <t>实际出资</t>
    <phoneticPr fontId="4" type="noConversion"/>
  </si>
  <si>
    <t>待收金额</t>
    <phoneticPr fontId="4" type="noConversion"/>
  </si>
  <si>
    <t>成本支出</t>
    <phoneticPr fontId="4" type="noConversion"/>
  </si>
  <si>
    <t>固定开支</t>
    <phoneticPr fontId="4" type="noConversion"/>
  </si>
  <si>
    <t>工资提成</t>
    <phoneticPr fontId="4" type="noConversion"/>
  </si>
  <si>
    <t>一次性开支</t>
    <phoneticPr fontId="4" type="noConversion"/>
  </si>
  <si>
    <t>小计</t>
    <phoneticPr fontId="4" type="noConversion"/>
  </si>
  <si>
    <t>供应商利润</t>
    <phoneticPr fontId="4" type="noConversion"/>
  </si>
  <si>
    <t>*.1月支出包含2023年11月和12月支出</t>
    <phoneticPr fontId="4" type="noConversion"/>
  </si>
  <si>
    <t>累计</t>
    <phoneticPr fontId="4" type="noConversion"/>
  </si>
  <si>
    <t>2023-12-19</t>
  </si>
  <si>
    <t>一次性支出</t>
  </si>
  <si>
    <t>第一次对接系统（外地考察差旅费）</t>
  </si>
  <si>
    <t>系统搭建费</t>
  </si>
  <si>
    <t>风控充值</t>
  </si>
  <si>
    <t>固定支出</t>
  </si>
  <si>
    <t>工资</t>
  </si>
  <si>
    <t>人脸识别充值</t>
  </si>
  <si>
    <t>连连开票税点</t>
  </si>
  <si>
    <t>芳会工资</t>
  </si>
  <si>
    <t>补芳会工资</t>
  </si>
  <si>
    <t>因系统问题，重录单</t>
  </si>
  <si>
    <t>提成</t>
  </si>
  <si>
    <t>12月、1月业务提成</t>
  </si>
  <si>
    <t>年会买礼品</t>
  </si>
  <si>
    <t>年会团建饭费</t>
  </si>
  <si>
    <t>截至春节前所有提成</t>
  </si>
  <si>
    <t>张涛出差费用</t>
  </si>
  <si>
    <t>二手回收小程序认证</t>
  </si>
  <si>
    <t>541.44+78+300，二手回收服务器、域名等</t>
  </si>
  <si>
    <t>2月份业务提成</t>
  </si>
  <si>
    <t>芳会2月份工资+830元客服提成</t>
  </si>
  <si>
    <t>购买无线路由器（京东）</t>
  </si>
  <si>
    <t>闪送（累计）</t>
  </si>
  <si>
    <t>给三宝买JD购物卡</t>
  </si>
  <si>
    <t>闪送（2趟）</t>
  </si>
  <si>
    <t>闪送</t>
  </si>
  <si>
    <t>打印机墨盒*3</t>
  </si>
  <si>
    <t>修门头</t>
  </si>
  <si>
    <t>亚克力码牌</t>
  </si>
  <si>
    <t>合墨数据（实际付款18000，15号反2000）</t>
  </si>
  <si>
    <t>租打印机，季度付（299/月）</t>
  </si>
  <si>
    <t>A4打印纸（张涛买）</t>
  </si>
  <si>
    <t>社保补380</t>
  </si>
  <si>
    <t>顺丰快递（邮寄合墨合同）</t>
  </si>
  <si>
    <t>机票（两人，杭州，去程）</t>
  </si>
  <si>
    <t>3月份业务提成+客服工资提成</t>
  </si>
  <si>
    <t>出差杭州，酒店，车费，回程高铁</t>
  </si>
  <si>
    <t>扫码枪</t>
  </si>
  <si>
    <t>档案盒</t>
  </si>
  <si>
    <t>百度网盘年会员</t>
  </si>
  <si>
    <t>服务器年费（新平台）</t>
  </si>
  <si>
    <t>新租赁系统（武汉安象）</t>
  </si>
  <si>
    <t>小程序认证（年费）</t>
  </si>
  <si>
    <t>买纸巾（张涛）</t>
  </si>
  <si>
    <t>买插排（张涛）</t>
  </si>
  <si>
    <t>杭州出差机票（杜林）</t>
  </si>
  <si>
    <t>房租（两个月，3月和2月）</t>
  </si>
  <si>
    <t>打印机租金</t>
  </si>
  <si>
    <t>买水（张涛）</t>
  </si>
  <si>
    <t>买冰箱（张涛）</t>
  </si>
  <si>
    <t>财产保全费（张涛）</t>
  </si>
  <si>
    <t>退款（客户操作失误，订单号：20240417144414802659718582）</t>
  </si>
  <si>
    <t>买2张凳子（卢）</t>
  </si>
  <si>
    <t>云存储（用于合同，签约资料备份）</t>
  </si>
  <si>
    <t>郑州银基团建（团费）</t>
  </si>
  <si>
    <t>客户尚云珍扫码多转40，退还给客户</t>
  </si>
  <si>
    <t>卢转杜（临时借调）</t>
  </si>
  <si>
    <t>郑州团建第二次聚餐</t>
  </si>
  <si>
    <t>郑州团建第一次聚餐</t>
  </si>
  <si>
    <t>郑州团建买水</t>
  </si>
  <si>
    <t>四月份提成</t>
  </si>
  <si>
    <t>四月份提成（补给张涛的）</t>
  </si>
  <si>
    <t>房租4月份</t>
  </si>
  <si>
    <t>张涛买电池</t>
  </si>
  <si>
    <t>“禁止变现”亚克力板</t>
  </si>
  <si>
    <t>企业条幅，照片墙（张国）</t>
  </si>
  <si>
    <t>李锦瑞多还一笔（天），退还1979.84</t>
  </si>
  <si>
    <t>天津浩程达征信接口保证金（可退）</t>
  </si>
  <si>
    <t>天津浩程达征信接口预充值（可退）</t>
  </si>
  <si>
    <t>购买20台华为充电宝</t>
  </si>
  <si>
    <t>宜宾客户中午吃饭（张涛）</t>
  </si>
  <si>
    <t>宜宾客户晚上吃饭+住宿（张涛）</t>
  </si>
  <si>
    <t>新平台首笔风控充值</t>
  </si>
  <si>
    <t>旧平台</t>
  </si>
  <si>
    <t>客户：张斌，取消订单，退还增值费</t>
  </si>
  <si>
    <t>客服手机充值话费</t>
  </si>
  <si>
    <t>客服办公室插线板+印油+扫码枪+网线</t>
  </si>
  <si>
    <t>从今日起，老系统商沟通，将年前系统抽成分散至6月</t>
  </si>
  <si>
    <t>5月份销冠奖金</t>
  </si>
  <si>
    <t>买曲别针+中性笔（卢）</t>
  </si>
  <si>
    <t>买雪糕（张涛）</t>
  </si>
  <si>
    <t>自提点亚克力牌子2块</t>
  </si>
  <si>
    <t>中秋福利粽子礼包</t>
  </si>
  <si>
    <t>老系统</t>
  </si>
  <si>
    <t>买抽纸（张涛）</t>
  </si>
  <si>
    <t>诉讼费</t>
  </si>
  <si>
    <t>退单，退给客户</t>
  </si>
  <si>
    <t>买饮料（张涛）</t>
  </si>
  <si>
    <t>扫描王PDF会员（杨琳）</t>
  </si>
  <si>
    <t>杜哥（5月提成+工资）</t>
  </si>
  <si>
    <t>张倩（5月提成+工资）</t>
  </si>
  <si>
    <t>张鹏（5月提成+工资）</t>
  </si>
  <si>
    <t>罗佳（5月提成+工资）</t>
  </si>
  <si>
    <t>客服5月份工资</t>
  </si>
  <si>
    <t>5月份张涛补助</t>
  </si>
  <si>
    <t>诉讼费（武红丽）</t>
  </si>
  <si>
    <t>补5月份提成零头</t>
  </si>
  <si>
    <t>张国（5月提成+工资）</t>
  </si>
  <si>
    <t>杨三萍（5月提成+工资）</t>
  </si>
  <si>
    <t>柳新康（5月提成+工资）</t>
  </si>
  <si>
    <t>贾敏（5月提成+工资）</t>
  </si>
  <si>
    <t>房租5月份</t>
  </si>
  <si>
    <t>打印+印泥+笔</t>
  </si>
  <si>
    <t>档案袋3*100</t>
  </si>
  <si>
    <t>买扑克（张涛）</t>
  </si>
  <si>
    <t>录错订单，给客户造成麻烦，减免307.9</t>
  </si>
  <si>
    <t>新系统提前扣款，给客户退还</t>
  </si>
  <si>
    <t>重复扣款，退还给客户（客户自主还款没告知，合墨又扣一次）</t>
  </si>
  <si>
    <t>给朱兵营业执照租用费</t>
  </si>
  <si>
    <t>给业务奖励香水</t>
  </si>
  <si>
    <t>营业执照变更费（朱兵）</t>
  </si>
  <si>
    <t>朱兵营业执照地址挂靠</t>
  </si>
  <si>
    <t>结息（五月、六月）资金成本</t>
  </si>
  <si>
    <t>6月份销冠奖杯</t>
  </si>
  <si>
    <t>6月份销冠奖金（罗佳、贾敏）</t>
  </si>
  <si>
    <t>买办公用品（张涛）</t>
  </si>
  <si>
    <t>定制打火机2000个（张涛）</t>
  </si>
  <si>
    <t>档案袋50个</t>
  </si>
  <si>
    <t>营业执照地址费用</t>
  </si>
  <si>
    <t>系统多扣，退还给客户</t>
  </si>
  <si>
    <t>旧系统</t>
  </si>
  <si>
    <t>杜借调，公户转杜9万+卢转杜1万</t>
  </si>
  <si>
    <t>办公室物料（业绩墙、牌匾等）张国</t>
  </si>
  <si>
    <t>买保险柜（卢），2024年7月25日，柜子运输损坏退100</t>
  </si>
  <si>
    <t>用于开成本票30万，2个点（实际开票金额304240元）</t>
  </si>
  <si>
    <t>多扣一笔（魏红日），退还给客户</t>
  </si>
  <si>
    <t>6月客服工资+客服提成</t>
  </si>
  <si>
    <t>6月业务提成零头</t>
  </si>
  <si>
    <t>6月业务提成+工资，卢补</t>
  </si>
  <si>
    <t>6月业务提成+工资合计241100元</t>
  </si>
  <si>
    <t>6月份工资</t>
  </si>
  <si>
    <t>借调给张涛走6月份代发工资流水</t>
  </si>
  <si>
    <t>房租6月份</t>
  </si>
  <si>
    <t>过账，转给张涛支付社保（基数上涨）</t>
  </si>
  <si>
    <t>新小程序服务器+备份服务器+企业微信认证（3491.45+2277.96）</t>
  </si>
  <si>
    <t>（新征信接口加急费用4000）+10000（电子合同+风控预充值）</t>
  </si>
  <si>
    <t>结息（七月）资金成本</t>
  </si>
  <si>
    <t>征信充值（走公户）</t>
  </si>
  <si>
    <t>7月销冠奖金</t>
  </si>
  <si>
    <t>7月份业务提成+客服工资，234570，详见工资表</t>
  </si>
  <si>
    <t>补提成零头</t>
  </si>
  <si>
    <t>补小曹提成，7月完成一单业绩</t>
  </si>
  <si>
    <t>房租7月份</t>
  </si>
  <si>
    <t>新系统风控充值</t>
  </si>
  <si>
    <t>用于员工中秋礼品（张涛从提现抵扣）</t>
  </si>
  <si>
    <t>支付合作伙伴中秋礼品邮寄费</t>
  </si>
  <si>
    <t>朱兵营业执照代理记账</t>
  </si>
  <si>
    <t>8月份工资发放（现金）</t>
  </si>
  <si>
    <t>8月工资发放现金结余，退还给杜</t>
  </si>
  <si>
    <t>8月份工资零头</t>
  </si>
  <si>
    <t>8月份工资（张国），杜转张国</t>
  </si>
  <si>
    <t>8月份客服工资（转账给张涛）</t>
  </si>
  <si>
    <t>8月份工资（卢）</t>
  </si>
  <si>
    <t>房租8月份</t>
  </si>
  <si>
    <t>补业务变现费用（罗佳）</t>
  </si>
  <si>
    <t>旧系统修改费（合同）</t>
  </si>
  <si>
    <t>打印机季度租金</t>
  </si>
  <si>
    <t>买档案盒</t>
  </si>
  <si>
    <t>代理记账费用</t>
  </si>
  <si>
    <t>8月份员工社保（勇哥）</t>
  </si>
  <si>
    <t>8月份员工社保（7人）</t>
  </si>
  <si>
    <t>用于新办公地点宽带费（联通239套餐）</t>
  </si>
  <si>
    <t>44层6个月房租，公户转</t>
  </si>
  <si>
    <t>印刷客服办公室物料（码牌等）</t>
  </si>
  <si>
    <t>支付客服电脑鼠标</t>
  </si>
  <si>
    <t>支付办公躺椅</t>
  </si>
  <si>
    <t>9月份7人社保</t>
  </si>
  <si>
    <t>公户转员工工资</t>
  </si>
  <si>
    <t>给黄总买iPhone16 Pro Max 1T</t>
  </si>
  <si>
    <t>买电视等，张涛POS</t>
  </si>
  <si>
    <t>买监控</t>
  </si>
  <si>
    <t>华为P70+ 512G</t>
  </si>
  <si>
    <t>iPhone15+128G</t>
  </si>
  <si>
    <t>设计品牌VI</t>
  </si>
  <si>
    <t>支付宜宾营业执照代理记账（张涛）</t>
  </si>
  <si>
    <t>宜宾出证费</t>
  </si>
  <si>
    <t>无线投屏</t>
  </si>
  <si>
    <t>宜宾出证申请（9份合同）</t>
  </si>
  <si>
    <t>补10月工资（曹艳霞）</t>
  </si>
  <si>
    <t>补10月工资（柳新康）</t>
  </si>
  <si>
    <t>公户转工资</t>
  </si>
  <si>
    <t>7人转1000，私户扣除，抵10月工资</t>
  </si>
  <si>
    <t>补10月员工社保（7个人）</t>
  </si>
  <si>
    <t>扣除社保10月工资（杜）实际转200</t>
  </si>
  <si>
    <t>10月罗佳客户安亚军提成退还</t>
  </si>
  <si>
    <t>打印机租金（续约）</t>
  </si>
  <si>
    <t>买手机（16Pro 1T 金色）</t>
  </si>
  <si>
    <t>交电费</t>
  </si>
  <si>
    <t>买电池7号+5号</t>
  </si>
  <si>
    <t>水杯+邮寄快递费（张涛）</t>
  </si>
  <si>
    <t>闪送（给大姐送营业执照）</t>
  </si>
  <si>
    <t>大姐营业执照刻章（张涛）</t>
  </si>
  <si>
    <t>待解营业执照开票（张涛）</t>
  </si>
  <si>
    <t>前台logo制作（张国）</t>
  </si>
  <si>
    <t>支付11月份销冠奖金+奖杯</t>
  </si>
  <si>
    <t>购买前台椅子</t>
  </si>
  <si>
    <t>买办公用品（粘胶、胶带）</t>
  </si>
  <si>
    <t>刻章（张涛）</t>
  </si>
  <si>
    <t>公户代发11月工资（合墨提现10万，公户结余26568，张涛合墨转公户61000）</t>
  </si>
  <si>
    <t>11月份6人社保扣款（8809-6000，6000为业务转公司）</t>
  </si>
  <si>
    <t>扫地大姐工资</t>
  </si>
  <si>
    <t>门锁（张涛）</t>
  </si>
  <si>
    <t>一次性茶具（张涛）</t>
  </si>
  <si>
    <t>垃圾袋（张涛）</t>
  </si>
  <si>
    <t>供应商利润</t>
    <phoneticPr fontId="9" type="noConversion"/>
  </si>
  <si>
    <t>给武汉杨总买礼品</t>
    <phoneticPr fontId="4" type="noConversion"/>
  </si>
  <si>
    <t>1月</t>
    <phoneticPr fontId="4" type="noConversion"/>
  </si>
  <si>
    <t>9月</t>
    <phoneticPr fontId="4" type="noConversion"/>
  </si>
  <si>
    <t>太太享物2025年终运营汇报</t>
    <phoneticPr fontId="4" type="noConversion"/>
  </si>
  <si>
    <t>逾期金额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</si>
</sst>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2">
    <font>
      <sz val="11"/>
      <color theme="1"/>
      <name val="宋体"/>
      <charset val="134"/>
      <scheme val="minor"/>
    </font>
    <font>
      <sz val="12"/>
      <color theme="1"/>
      <name val="汉仪雅酷黑 55W"/>
      <charset val="134"/>
    </font>
    <font>
      <sz val="11"/>
      <color theme="1"/>
      <name val="汉仪雅酷黑 55W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汉仪雅酷黑 55W"/>
      <charset val="134"/>
    </font>
    <font>
      <sz val="11"/>
      <color rgb="FF9C57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i/>
      <sz val="12"/>
      <color theme="1"/>
      <name val="宋体"/>
      <family val="3"/>
      <charset val="134"/>
    </font>
    <font>
      <b/>
      <sz val="26"/>
      <color theme="1" tint="0.1499679555650502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BECC1"/>
        <bgColor indexed="64"/>
      </patternFill>
    </fill>
    <fill>
      <patternFill patternType="solid">
        <fgColor rgb="FFFBD05F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5"/>
      </patternFill>
    </fill>
  </fills>
  <borders count="1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3" fontId="2" fillId="0" borderId="3" xfId="0" applyNumberFormat="1" applyFont="1" applyBorder="1" applyAlignment="1">
      <alignment horizontal="center" vertical="center"/>
    </xf>
    <xf numFmtId="43" fontId="2" fillId="0" borderId="4" xfId="0" applyNumberFormat="1" applyFont="1" applyBorder="1" applyAlignment="1">
      <alignment horizontal="center" vertical="center"/>
    </xf>
    <xf numFmtId="10" fontId="2" fillId="0" borderId="4" xfId="1" applyNumberFormat="1" applyFont="1" applyBorder="1" applyAlignment="1">
      <alignment horizontal="center" vertical="center"/>
    </xf>
    <xf numFmtId="43" fontId="2" fillId="0" borderId="5" xfId="0" applyNumberFormat="1" applyFont="1" applyBorder="1" applyAlignment="1">
      <alignment horizontal="center" vertical="center"/>
    </xf>
    <xf numFmtId="43" fontId="2" fillId="0" borderId="6" xfId="0" applyNumberFormat="1" applyFont="1" applyBorder="1" applyAlignment="1">
      <alignment horizontal="center" vertical="center"/>
    </xf>
    <xf numFmtId="10" fontId="2" fillId="0" borderId="6" xfId="1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3" fontId="1" fillId="2" borderId="0" xfId="0" applyNumberFormat="1" applyFont="1" applyFill="1" applyAlignment="1">
      <alignment horizontal="center" vertical="center"/>
    </xf>
    <xf numFmtId="43" fontId="2" fillId="0" borderId="6" xfId="1" applyNumberFormat="1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>
      <alignment vertical="center"/>
    </xf>
    <xf numFmtId="0" fontId="1" fillId="2" borderId="0" xfId="0" applyFont="1" applyFill="1">
      <alignment vertical="center"/>
    </xf>
    <xf numFmtId="43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49" fontId="0" fillId="0" borderId="0" xfId="0" applyNumberFormat="1" applyAlignment="1">
      <alignment horizontal="center"/>
    </xf>
    <xf numFmtId="49" fontId="6" fillId="0" borderId="0" xfId="2" applyNumberFormat="1" applyFill="1" applyAlignment="1">
      <alignment horizontal="center" vertical="center"/>
    </xf>
    <xf numFmtId="0" fontId="6" fillId="0" borderId="0" xfId="2" applyFill="1" applyAlignment="1">
      <alignment horizontal="center"/>
    </xf>
    <xf numFmtId="0" fontId="6" fillId="0" borderId="0" xfId="2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7" fillId="0" borderId="0" xfId="3" applyNumberFormat="1" applyFill="1" applyAlignment="1">
      <alignment horizontal="center" vertical="center"/>
    </xf>
    <xf numFmtId="0" fontId="7" fillId="0" borderId="0" xfId="3" applyFill="1" applyAlignment="1">
      <alignment horizontal="center"/>
    </xf>
    <xf numFmtId="0" fontId="7" fillId="0" borderId="0" xfId="3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43" fontId="8" fillId="0" borderId="11" xfId="0" applyNumberFormat="1" applyFont="1" applyBorder="1" applyAlignment="1">
      <alignment horizontal="center" vertical="center"/>
    </xf>
    <xf numFmtId="43" fontId="8" fillId="0" borderId="12" xfId="0" applyNumberFormat="1" applyFont="1" applyBorder="1" applyAlignment="1">
      <alignment horizontal="center" vertical="center"/>
    </xf>
    <xf numFmtId="43" fontId="8" fillId="0" borderId="9" xfId="0" applyNumberFormat="1" applyFont="1" applyBorder="1" applyAlignment="1">
      <alignment horizontal="center" vertical="center"/>
    </xf>
    <xf numFmtId="43" fontId="1" fillId="0" borderId="10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8" fillId="0" borderId="7" xfId="0" applyNumberFormat="1" applyFont="1" applyBorder="1" applyAlignment="1">
      <alignment horizontal="center" vertical="center"/>
    </xf>
    <xf numFmtId="43" fontId="1" fillId="0" borderId="8" xfId="0" applyNumberFormat="1" applyFont="1" applyBorder="1" applyAlignment="1">
      <alignment horizontal="center" vertical="center"/>
    </xf>
    <xf numFmtId="43" fontId="1" fillId="0" borderId="7" xfId="0" applyNumberFormat="1" applyFont="1" applyBorder="1" applyAlignment="1">
      <alignment horizontal="center" vertical="center"/>
    </xf>
    <xf numFmtId="43" fontId="1" fillId="0" borderId="9" xfId="0" applyNumberFormat="1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57" fontId="5" fillId="3" borderId="2" xfId="0" applyNumberFormat="1" applyFont="1" applyFill="1" applyBorder="1" applyAlignment="1">
      <alignment horizontal="center" vertical="center"/>
    </xf>
  </cellXfs>
  <cellStyles count="4">
    <cellStyle name="40% - 着色 3" xfId="3" builtinId="39"/>
    <cellStyle name="百分比" xfId="1" builtinId="5"/>
    <cellStyle name="常规" xfId="0" builtinId="0"/>
    <cellStyle name="适中" xfId="2" builtinId="2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BECC1"/>
      <color rgb="FFF6F5FB"/>
      <color rgb="FFFE9156"/>
      <color rgb="FFFBD05F"/>
      <color rgb="FFFF808B"/>
      <color rgb="FFFEB179"/>
      <color rgb="FFE8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 待收金额 </c:v>
                </c:pt>
              </c:strCache>
            </c:strRef>
          </c:tx>
          <c:spPr>
            <a:solidFill>
              <a:srgbClr val="E8E6F5"/>
            </a:solidFill>
            <a:ln>
              <a:noFill/>
            </a:ln>
            <a:effectLst/>
          </c:spPr>
          <c:invertIfNegative val="0"/>
          <c:cat>
            <c:strRef>
              <c:f>Sheet1!$D$6:$O$6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Sheet1!$D$7:$O$7</c:f>
              <c:numCache>
                <c:formatCode>_(* #,##0.00_);_(* \(#,##0.00\);_(* "-"??_);_(@_)</c:formatCode>
                <c:ptCount val="12"/>
                <c:pt idx="0">
                  <c:v>800626.29</c:v>
                </c:pt>
                <c:pt idx="1">
                  <c:v>793161.06</c:v>
                </c:pt>
                <c:pt idx="2">
                  <c:v>1142292.3899999999</c:v>
                </c:pt>
                <c:pt idx="3">
                  <c:v>1714884.93</c:v>
                </c:pt>
                <c:pt idx="4">
                  <c:v>2183231.08</c:v>
                </c:pt>
                <c:pt idx="5">
                  <c:v>3507316.59</c:v>
                </c:pt>
                <c:pt idx="6">
                  <c:v>5019746.53</c:v>
                </c:pt>
                <c:pt idx="7">
                  <c:v>5853230.2000000002</c:v>
                </c:pt>
                <c:pt idx="8">
                  <c:v>5711282.0300000003</c:v>
                </c:pt>
                <c:pt idx="9">
                  <c:v>5436475.5300000003</c:v>
                </c:pt>
                <c:pt idx="10">
                  <c:v>5559407.0300000003</c:v>
                </c:pt>
                <c:pt idx="11">
                  <c:v>5348382.13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6-4C4C-A67B-0E951ABE4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123147408"/>
        <c:axId val="77865945"/>
      </c:barChart>
      <c:barChart>
        <c:barDir val="col"/>
        <c:grouping val="clustered"/>
        <c:varyColors val="0"/>
        <c:ser>
          <c:idx val="1"/>
          <c:order val="1"/>
          <c:tx>
            <c:strRef>
              <c:f>Sheet1!$B$8</c:f>
              <c:strCache>
                <c:ptCount val="1"/>
                <c:pt idx="0">
                  <c:v> 实际出资 </c:v>
                </c:pt>
              </c:strCache>
            </c:strRef>
          </c:tx>
          <c:spPr>
            <a:solidFill>
              <a:srgbClr val="FBD05F"/>
            </a:solidFill>
            <a:ln>
              <a:noFill/>
            </a:ln>
            <a:effectLst/>
          </c:spPr>
          <c:invertIfNegative val="0"/>
          <c:cat>
            <c:strRef>
              <c:f>Sheet1!$G$6:$U$6</c:f>
              <c:strCache>
                <c:ptCount val="15"/>
                <c:pt idx="0">
                  <c:v>4月</c:v>
                </c:pt>
                <c:pt idx="1">
                  <c:v>5月</c:v>
                </c:pt>
                <c:pt idx="2">
                  <c:v>6月</c:v>
                </c:pt>
                <c:pt idx="3">
                  <c:v>7月</c:v>
                </c:pt>
                <c:pt idx="4">
                  <c:v>8月</c:v>
                </c:pt>
                <c:pt idx="5">
                  <c:v>9月</c:v>
                </c:pt>
                <c:pt idx="6">
                  <c:v>10月</c:v>
                </c:pt>
                <c:pt idx="7">
                  <c:v>11月</c:v>
                </c:pt>
                <c:pt idx="8">
                  <c:v>12月</c:v>
                </c:pt>
                <c:pt idx="9">
                  <c:v>1月</c:v>
                </c:pt>
                <c:pt idx="10">
                  <c:v>2月</c:v>
                </c:pt>
                <c:pt idx="11">
                  <c:v>3月</c:v>
                </c:pt>
                <c:pt idx="12">
                  <c:v>4月</c:v>
                </c:pt>
                <c:pt idx="13">
                  <c:v>9月</c:v>
                </c:pt>
                <c:pt idx="14">
                  <c:v>2026年1月</c:v>
                </c:pt>
              </c:strCache>
            </c:strRef>
          </c:cat>
          <c:val>
            <c:numRef>
              <c:f>Sheet1!$D$8:$U$8</c:f>
              <c:numCache>
                <c:formatCode>_(* #,##0.00_);_(* \(#,##0.00\);_(* "-"??_);_(@_)</c:formatCode>
                <c:ptCount val="18"/>
                <c:pt idx="0">
                  <c:v>583142.52</c:v>
                </c:pt>
                <c:pt idx="1">
                  <c:v>601810.82999999996</c:v>
                </c:pt>
                <c:pt idx="2">
                  <c:v>750121.68</c:v>
                </c:pt>
                <c:pt idx="3">
                  <c:v>1113441</c:v>
                </c:pt>
                <c:pt idx="4">
                  <c:v>1484821.67</c:v>
                </c:pt>
                <c:pt idx="5">
                  <c:v>2204088.4700000002</c:v>
                </c:pt>
                <c:pt idx="6">
                  <c:v>3202144.58</c:v>
                </c:pt>
                <c:pt idx="7">
                  <c:v>3707302.54</c:v>
                </c:pt>
                <c:pt idx="8">
                  <c:v>3309735.05</c:v>
                </c:pt>
                <c:pt idx="9">
                  <c:v>3014485.94</c:v>
                </c:pt>
                <c:pt idx="10">
                  <c:v>2806620.94</c:v>
                </c:pt>
                <c:pt idx="11">
                  <c:v>2634352.94</c:v>
                </c:pt>
                <c:pt idx="12">
                  <c:v>2016458.54</c:v>
                </c:pt>
                <c:pt idx="13">
                  <c:v>1412204.54</c:v>
                </c:pt>
                <c:pt idx="14">
                  <c:v>826605.42</c:v>
                </c:pt>
                <c:pt idx="15">
                  <c:v>437198.09</c:v>
                </c:pt>
                <c:pt idx="16">
                  <c:v>-614438.5</c:v>
                </c:pt>
                <c:pt idx="17">
                  <c:v>-856310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6-4C4C-A67B-0E951ABE4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564148365"/>
        <c:axId val="300801450"/>
      </c:barChart>
      <c:catAx>
        <c:axId val="1231474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77865945"/>
        <c:crosses val="autoZero"/>
        <c:auto val="1"/>
        <c:lblAlgn val="ctr"/>
        <c:lblOffset val="100"/>
        <c:noMultiLvlLbl val="0"/>
      </c:catAx>
      <c:valAx>
        <c:axId val="7786594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123147408"/>
        <c:crosses val="autoZero"/>
        <c:crossBetween val="between"/>
      </c:valAx>
      <c:catAx>
        <c:axId val="56414836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0801450"/>
        <c:crosses val="autoZero"/>
        <c:auto val="1"/>
        <c:lblAlgn val="ctr"/>
        <c:lblOffset val="100"/>
        <c:noMultiLvlLbl val="0"/>
      </c:catAx>
      <c:valAx>
        <c:axId val="300801450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56414836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雅酷黑 55W" panose="020B0504020202020204" charset="-122"/>
          <a:ea typeface="汉仪雅酷黑 55W" panose="020B0504020202020204" charset="-122"/>
          <a:cs typeface="汉仪雅酷黑 55W" panose="020B0504020202020204" charset="-122"/>
          <a:sym typeface="汉仪雅酷黑 55W" panose="020B0504020202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r>
              <a:rPr lang="zh-CN" altLang="en-US" sz="1200"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rPr>
              <a:t>逾期本金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rgbClr val="FF808B"/>
            </a:solidFill>
            <a:ln>
              <a:noFill/>
            </a:ln>
            <a:effectLst/>
          </c:spPr>
          <c:cat>
            <c:strRef>
              <c:f>Sheet1!$D$6:$U$6</c:f>
              <c:strCache>
                <c:ptCount val="1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1月</c:v>
                </c:pt>
                <c:pt idx="13">
                  <c:v>2月</c:v>
                </c:pt>
                <c:pt idx="14">
                  <c:v>3月</c:v>
                </c:pt>
                <c:pt idx="15">
                  <c:v>4月</c:v>
                </c:pt>
                <c:pt idx="16">
                  <c:v>9月</c:v>
                </c:pt>
                <c:pt idx="17">
                  <c:v>2026年1月</c:v>
                </c:pt>
              </c:strCache>
            </c:strRef>
          </c:cat>
          <c:val>
            <c:numRef>
              <c:f>Sheet1!$D$10:$U$10</c:f>
              <c:numCache>
                <c:formatCode>_(* #,##0.00_);_(* \(#,##0.00\);_(* "-"??_);_(@_)</c:formatCode>
                <c:ptCount val="18"/>
                <c:pt idx="0">
                  <c:v>0</c:v>
                </c:pt>
                <c:pt idx="1">
                  <c:v>49797.440000000002</c:v>
                </c:pt>
                <c:pt idx="2">
                  <c:v>0</c:v>
                </c:pt>
                <c:pt idx="3">
                  <c:v>27200.67</c:v>
                </c:pt>
                <c:pt idx="4">
                  <c:v>46606.61</c:v>
                </c:pt>
                <c:pt idx="5">
                  <c:v>104687.88</c:v>
                </c:pt>
                <c:pt idx="6">
                  <c:v>391367.54</c:v>
                </c:pt>
                <c:pt idx="7">
                  <c:v>685629.12</c:v>
                </c:pt>
                <c:pt idx="8">
                  <c:v>759430.46</c:v>
                </c:pt>
                <c:pt idx="9">
                  <c:v>1000438.08</c:v>
                </c:pt>
                <c:pt idx="10">
                  <c:v>1019315.38</c:v>
                </c:pt>
                <c:pt idx="11">
                  <c:v>1451169.38</c:v>
                </c:pt>
                <c:pt idx="12">
                  <c:v>1525081.08</c:v>
                </c:pt>
                <c:pt idx="13">
                  <c:v>2172446.7000000002</c:v>
                </c:pt>
                <c:pt idx="14">
                  <c:v>2067336.72</c:v>
                </c:pt>
                <c:pt idx="15">
                  <c:v>2142722.2200000002</c:v>
                </c:pt>
                <c:pt idx="16">
                  <c:v>2460084.58</c:v>
                </c:pt>
                <c:pt idx="17">
                  <c:v>2056907.71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9-4B08-9E4E-341F6F6B5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808934"/>
        <c:axId val="159612228"/>
      </c:areaChart>
      <c:catAx>
        <c:axId val="77080893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159612228"/>
        <c:crosses val="autoZero"/>
        <c:auto val="1"/>
        <c:lblAlgn val="ctr"/>
        <c:lblOffset val="100"/>
        <c:noMultiLvlLbl val="0"/>
      </c:catAx>
      <c:valAx>
        <c:axId val="1596122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77080893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雅酷黑 55W" panose="020B0504020202020204" charset="-122"/>
          <a:ea typeface="汉仪雅酷黑 55W" panose="020B0504020202020204" charset="-122"/>
          <a:cs typeface="汉仪雅酷黑 55W" panose="020B0504020202020204" charset="-122"/>
          <a:sym typeface="汉仪雅酷黑 55W" panose="020B0504020202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9845540607872407E-2"/>
          <c:y val="0.15978353745371701"/>
          <c:w val="0.88823119083208801"/>
          <c:h val="0.70247792651666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Sheet1!$B$11</c:f>
              <c:strCache>
                <c:ptCount val="1"/>
                <c:pt idx="0">
                  <c:v> 利润金额 </c:v>
                </c:pt>
              </c:strCache>
            </c:strRef>
          </c:tx>
          <c:spPr>
            <a:solidFill>
              <a:srgbClr val="FEB179"/>
            </a:solidFill>
            <a:ln>
              <a:noFill/>
            </a:ln>
            <a:effectLst/>
          </c:spPr>
          <c:invertIfNegative val="0"/>
          <c:cat>
            <c:strRef>
              <c:f>Sheet1!$D$6:$U$6</c:f>
              <c:strCache>
                <c:ptCount val="1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1月</c:v>
                </c:pt>
                <c:pt idx="13">
                  <c:v>2月</c:v>
                </c:pt>
                <c:pt idx="14">
                  <c:v>3月</c:v>
                </c:pt>
                <c:pt idx="15">
                  <c:v>4月</c:v>
                </c:pt>
                <c:pt idx="16">
                  <c:v>9月</c:v>
                </c:pt>
                <c:pt idx="17">
                  <c:v>2026年1月</c:v>
                </c:pt>
              </c:strCache>
            </c:strRef>
          </c:cat>
          <c:val>
            <c:numRef>
              <c:f>Sheet1!$D$11:$U$11</c:f>
              <c:numCache>
                <c:formatCode>_(* #,##0.00_);_(* \(#,##0.00\);_(* "-"??_);_(@_)</c:formatCode>
                <c:ptCount val="18"/>
                <c:pt idx="0">
                  <c:v>217483.77000000002</c:v>
                </c:pt>
                <c:pt idx="1">
                  <c:v>191350.2300000001</c:v>
                </c:pt>
                <c:pt idx="2">
                  <c:v>392170.70999999985</c:v>
                </c:pt>
                <c:pt idx="3">
                  <c:v>574243.25999999989</c:v>
                </c:pt>
                <c:pt idx="4">
                  <c:v>651802.80000000016</c:v>
                </c:pt>
                <c:pt idx="5">
                  <c:v>1198540.2399999998</c:v>
                </c:pt>
                <c:pt idx="6">
                  <c:v>1426234.4100000001</c:v>
                </c:pt>
                <c:pt idx="7">
                  <c:v>1460298.54</c:v>
                </c:pt>
                <c:pt idx="8">
                  <c:v>1642116.5200000005</c:v>
                </c:pt>
                <c:pt idx="9">
                  <c:v>1421551.5100000002</c:v>
                </c:pt>
                <c:pt idx="10">
                  <c:v>1733470.7100000004</c:v>
                </c:pt>
                <c:pt idx="11">
                  <c:v>1262859.81</c:v>
                </c:pt>
                <c:pt idx="12">
                  <c:v>1658981.0899999999</c:v>
                </c:pt>
                <c:pt idx="13">
                  <c:v>1001615.4699999997</c:v>
                </c:pt>
                <c:pt idx="14">
                  <c:v>1098528.95</c:v>
                </c:pt>
                <c:pt idx="15">
                  <c:v>1067606.52</c:v>
                </c:pt>
                <c:pt idx="16">
                  <c:v>427790.41999999993</c:v>
                </c:pt>
                <c:pt idx="17">
                  <c:v>856310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3-4383-8E20-9C672A556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3"/>
        <c:overlap val="-27"/>
        <c:axId val="483877576"/>
        <c:axId val="844230195"/>
      </c:barChart>
      <c:catAx>
        <c:axId val="48387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4230195"/>
        <c:crosses val="autoZero"/>
        <c:auto val="1"/>
        <c:lblAlgn val="ctr"/>
        <c:lblOffset val="100"/>
        <c:noMultiLvlLbl val="0"/>
      </c:catAx>
      <c:valAx>
        <c:axId val="84423019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3877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汉仪雅酷黑 55W" panose="020B0504020202020204" charset="-122"/>
              <a:ea typeface="汉仪雅酷黑 55W" panose="020B0504020202020204" charset="-122"/>
              <a:cs typeface="汉仪雅酷黑 55W" panose="020B0504020202020204" charset="-122"/>
              <a:sym typeface="汉仪雅酷黑 55W" panose="020B0504020202020204" charset="-122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 利润率 </c:v>
                </c:pt>
              </c:strCache>
            </c:strRef>
          </c:tx>
          <c:spPr>
            <a:ln w="28575" cap="rnd">
              <a:solidFill>
                <a:srgbClr val="FEB179"/>
              </a:solidFill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rgbClr val="FEB179"/>
                </a:solidFill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Sheet1!$D$6:$U$6</c:f>
              <c:strCache>
                <c:ptCount val="1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1月</c:v>
                </c:pt>
                <c:pt idx="13">
                  <c:v>2月</c:v>
                </c:pt>
                <c:pt idx="14">
                  <c:v>3月</c:v>
                </c:pt>
                <c:pt idx="15">
                  <c:v>4月</c:v>
                </c:pt>
                <c:pt idx="16">
                  <c:v>9月</c:v>
                </c:pt>
                <c:pt idx="17">
                  <c:v>2026年1月</c:v>
                </c:pt>
              </c:strCache>
            </c:strRef>
          </c:cat>
          <c:val>
            <c:numRef>
              <c:f>Sheet1!$D$12:$U$12</c:f>
              <c:numCache>
                <c:formatCode>0.00%</c:formatCode>
                <c:ptCount val="18"/>
                <c:pt idx="0">
                  <c:v>0.27164205412240461</c:v>
                </c:pt>
                <c:pt idx="1">
                  <c:v>0.24125015668318373</c:v>
                </c:pt>
                <c:pt idx="2">
                  <c:v>0.34331902535041825</c:v>
                </c:pt>
                <c:pt idx="3">
                  <c:v>0.33485818783187971</c:v>
                </c:pt>
                <c:pt idx="4">
                  <c:v>0.2985496157374235</c:v>
                </c:pt>
                <c:pt idx="5">
                  <c:v>0.34172570660352042</c:v>
                </c:pt>
                <c:pt idx="6">
                  <c:v>0.28412478627680832</c:v>
                </c:pt>
                <c:pt idx="7">
                  <c:v>0.24948592317452337</c:v>
                </c:pt>
                <c:pt idx="8">
                  <c:v>0.28752152518022306</c:v>
                </c:pt>
                <c:pt idx="9">
                  <c:v>0.26148402621431466</c:v>
                </c:pt>
                <c:pt idx="10">
                  <c:v>0.31180856171274085</c:v>
                </c:pt>
                <c:pt idx="11">
                  <c:v>0.23611996661876516</c:v>
                </c:pt>
                <c:pt idx="12">
                  <c:v>0.31900288115572178</c:v>
                </c:pt>
                <c:pt idx="13">
                  <c:v>0.21839450981253547</c:v>
                </c:pt>
                <c:pt idx="14">
                  <c:v>0.27515013264629551</c:v>
                </c:pt>
                <c:pt idx="15">
                  <c:v>0.29269326032620302</c:v>
                </c:pt>
                <c:pt idx="16">
                  <c:v>0.18816906476165043</c:v>
                </c:pt>
                <c:pt idx="17">
                  <c:v>0.41630939289930513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F3-4FF5-95F3-24B510E4D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650348"/>
        <c:axId val="312012596"/>
      </c:lineChart>
      <c:catAx>
        <c:axId val="5856503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312012596"/>
        <c:crosses val="autoZero"/>
        <c:auto val="1"/>
        <c:lblAlgn val="ctr"/>
        <c:lblOffset val="100"/>
        <c:noMultiLvlLbl val="0"/>
      </c:catAx>
      <c:valAx>
        <c:axId val="3120125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汉仪雅酷黑 55W" panose="020B0504020202020204" charset="-122"/>
                <a:ea typeface="汉仪雅酷黑 55W" panose="020B0504020202020204" charset="-122"/>
                <a:cs typeface="汉仪雅酷黑 55W" panose="020B0504020202020204" charset="-122"/>
                <a:sym typeface="汉仪雅酷黑 55W" panose="020B0504020202020204" charset="-122"/>
              </a:defRPr>
            </a:pPr>
            <a:endParaRPr lang="zh-CN"/>
          </a:p>
        </c:txPr>
        <c:crossAx val="5856503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>
          <a:latin typeface="汉仪雅酷黑 55W" panose="020B0504020202020204" charset="-122"/>
          <a:ea typeface="汉仪雅酷黑 55W" panose="020B0504020202020204" charset="-122"/>
          <a:cs typeface="汉仪雅酷黑 55W" panose="020B0504020202020204" charset="-122"/>
          <a:sym typeface="汉仪雅酷黑 55W" panose="020B0504020202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9845540607872407E-2"/>
          <c:y val="0.15978353745371701"/>
          <c:w val="0.88823119083208801"/>
          <c:h val="0.70247792651666197"/>
        </c:manualLayout>
      </c:layout>
      <c:lineChart>
        <c:grouping val="stack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 成本支出 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Sheet1!$D$6:$U$6</c:f>
              <c:strCache>
                <c:ptCount val="18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  <c:pt idx="12">
                  <c:v>1月</c:v>
                </c:pt>
                <c:pt idx="13">
                  <c:v>2月</c:v>
                </c:pt>
                <c:pt idx="14">
                  <c:v>3月</c:v>
                </c:pt>
                <c:pt idx="15">
                  <c:v>4月</c:v>
                </c:pt>
                <c:pt idx="16">
                  <c:v>9月</c:v>
                </c:pt>
                <c:pt idx="17">
                  <c:v>2026年1月</c:v>
                </c:pt>
              </c:strCache>
            </c:strRef>
          </c:cat>
          <c:val>
            <c:numRef>
              <c:f>Sheet1!$D$9:$U$9</c:f>
              <c:numCache>
                <c:formatCode>_(* #,##0.00_);_(* \(#,##0.00\);_(* "-"??_);_(@_)</c:formatCode>
                <c:ptCount val="18"/>
                <c:pt idx="0">
                  <c:v>75330</c:v>
                </c:pt>
                <c:pt idx="1">
                  <c:v>176946.44</c:v>
                </c:pt>
                <c:pt idx="2">
                  <c:v>225010.15</c:v>
                </c:pt>
                <c:pt idx="3">
                  <c:v>395218.53</c:v>
                </c:pt>
                <c:pt idx="4">
                  <c:v>687467.05</c:v>
                </c:pt>
                <c:pt idx="5">
                  <c:v>866870.69</c:v>
                </c:pt>
                <c:pt idx="6">
                  <c:v>1262962.8600000001</c:v>
                </c:pt>
                <c:pt idx="7">
                  <c:v>1637155.55</c:v>
                </c:pt>
                <c:pt idx="8">
                  <c:v>1857818.73</c:v>
                </c:pt>
                <c:pt idx="9">
                  <c:v>2191337.62</c:v>
                </c:pt>
                <c:pt idx="10">
                  <c:v>2335110.17</c:v>
                </c:pt>
                <c:pt idx="11">
                  <c:v>2671996.02</c:v>
                </c:pt>
                <c:pt idx="12">
                  <c:v>2671996.02</c:v>
                </c:pt>
                <c:pt idx="13">
                  <c:v>2671996.02</c:v>
                </c:pt>
                <c:pt idx="14">
                  <c:v>2671996.02</c:v>
                </c:pt>
                <c:pt idx="15">
                  <c:v>2528824.7799999998</c:v>
                </c:pt>
                <c:pt idx="16">
                  <c:v>2580296.02</c:v>
                </c:pt>
                <c:pt idx="17">
                  <c:v>2439236.02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E-4FEF-BFAC-B09ECA0E5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83877576"/>
        <c:axId val="844230195"/>
      </c:lineChart>
      <c:catAx>
        <c:axId val="48387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4230195"/>
        <c:crosses val="autoZero"/>
        <c:auto val="1"/>
        <c:lblAlgn val="ctr"/>
        <c:lblOffset val="100"/>
        <c:noMultiLvlLbl val="0"/>
      </c:catAx>
      <c:valAx>
        <c:axId val="844230195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8387757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rgbClr val="F6F5FB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155574</xdr:colOff>
      <xdr:row>3</xdr:row>
      <xdr:rowOff>13335</xdr:rowOff>
    </xdr:from>
    <xdr:to>
      <xdr:col>5</xdr:col>
      <xdr:colOff>414019</xdr:colOff>
      <xdr:row>4</xdr:row>
      <xdr:rowOff>3810</xdr:rowOff>
    </xdr:to>
    <xdr:sp macro="" textlink="">
      <xdr:nvSpPr>
        <xdr:cNvPr id="5" name="圆角矩形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882774" y="1042035"/>
          <a:ext cx="2671445" cy="600075"/>
        </a:xfrm>
        <a:prstGeom prst="roundRect">
          <a:avLst/>
        </a:prstGeom>
        <a:solidFill>
          <a:srgbClr val="FE915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83819</xdr:colOff>
      <xdr:row>3</xdr:row>
      <xdr:rowOff>13335</xdr:rowOff>
    </xdr:from>
    <xdr:to>
      <xdr:col>9</xdr:col>
      <xdr:colOff>520064</xdr:colOff>
      <xdr:row>4</xdr:row>
      <xdr:rowOff>3810</xdr:rowOff>
    </xdr:to>
    <xdr:sp macro="" textlink="">
      <xdr:nvSpPr>
        <xdr:cNvPr id="6" name="圆角矩形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637019" y="1042035"/>
          <a:ext cx="2849245" cy="600075"/>
        </a:xfrm>
        <a:prstGeom prst="roundRect">
          <a:avLst/>
        </a:prstGeom>
        <a:solidFill>
          <a:srgbClr val="FBD05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184150</xdr:colOff>
      <xdr:row>3</xdr:row>
      <xdr:rowOff>13335</xdr:rowOff>
    </xdr:from>
    <xdr:to>
      <xdr:col>13</xdr:col>
      <xdr:colOff>1196340</xdr:colOff>
      <xdr:row>4</xdr:row>
      <xdr:rowOff>3810</xdr:rowOff>
    </xdr:to>
    <xdr:sp macro="" textlink="">
      <xdr:nvSpPr>
        <xdr:cNvPr id="7" name="圆角矩形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1563350" y="1042035"/>
          <a:ext cx="3425190" cy="600075"/>
        </a:xfrm>
        <a:prstGeom prst="roundRect">
          <a:avLst/>
        </a:prstGeom>
        <a:solidFill>
          <a:srgbClr val="FF808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892175</xdr:colOff>
      <xdr:row>3</xdr:row>
      <xdr:rowOff>13335</xdr:rowOff>
    </xdr:from>
    <xdr:to>
      <xdr:col>18</xdr:col>
      <xdr:colOff>396240</xdr:colOff>
      <xdr:row>4</xdr:row>
      <xdr:rowOff>3810</xdr:rowOff>
    </xdr:to>
    <xdr:sp macro="" textlink="">
      <xdr:nvSpPr>
        <xdr:cNvPr id="8" name="圆角矩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097375" y="1042035"/>
          <a:ext cx="3123565" cy="600075"/>
        </a:xfrm>
        <a:prstGeom prst="roundRect">
          <a:avLst/>
        </a:prstGeom>
        <a:solidFill>
          <a:srgbClr val="FEB17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204128</xdr:colOff>
      <xdr:row>12</xdr:row>
      <xdr:rowOff>276225</xdr:rowOff>
    </xdr:from>
    <xdr:to>
      <xdr:col>11</xdr:col>
      <xdr:colOff>488600</xdr:colOff>
      <xdr:row>20</xdr:row>
      <xdr:rowOff>260985</xdr:rowOff>
    </xdr:to>
    <xdr:sp macro="" textlink="">
      <xdr:nvSpPr>
        <xdr:cNvPr id="13" name="圆角矩形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387394" y="4703541"/>
          <a:ext cx="10296573" cy="245402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428019</xdr:colOff>
      <xdr:row>13</xdr:row>
      <xdr:rowOff>122555</xdr:rowOff>
    </xdr:from>
    <xdr:to>
      <xdr:col>10</xdr:col>
      <xdr:colOff>681638</xdr:colOff>
      <xdr:row>20</xdr:row>
      <xdr:rowOff>105410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228600</xdr:colOff>
      <xdr:row>30</xdr:row>
      <xdr:rowOff>635</xdr:rowOff>
    </xdr:from>
    <xdr:to>
      <xdr:col>20</xdr:col>
      <xdr:colOff>1051367</xdr:colOff>
      <xdr:row>38</xdr:row>
      <xdr:rowOff>6350</xdr:rowOff>
    </xdr:to>
    <xdr:sp macro="" textlink="">
      <xdr:nvSpPr>
        <xdr:cNvPr id="14" name="圆角矩形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11866" y="9983800"/>
          <a:ext cx="20557602" cy="247498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567325</xdr:colOff>
      <xdr:row>30</xdr:row>
      <xdr:rowOff>27940</xdr:rowOff>
    </xdr:from>
    <xdr:to>
      <xdr:col>20</xdr:col>
      <xdr:colOff>611699</xdr:colOff>
      <xdr:row>37</xdr:row>
      <xdr:rowOff>269240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243840</xdr:colOff>
      <xdr:row>21</xdr:row>
      <xdr:rowOff>212090</xdr:rowOff>
    </xdr:from>
    <xdr:to>
      <xdr:col>11</xdr:col>
      <xdr:colOff>501570</xdr:colOff>
      <xdr:row>29</xdr:row>
      <xdr:rowOff>56515</xdr:rowOff>
    </xdr:to>
    <xdr:sp macro="" textlink="">
      <xdr:nvSpPr>
        <xdr:cNvPr id="15" name="圆角矩形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27106" y="7417331"/>
          <a:ext cx="10269831" cy="231369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455346</xdr:colOff>
      <xdr:row>22</xdr:row>
      <xdr:rowOff>6350</xdr:rowOff>
    </xdr:from>
    <xdr:to>
      <xdr:col>10</xdr:col>
      <xdr:colOff>659961</xdr:colOff>
      <xdr:row>28</xdr:row>
      <xdr:rowOff>206375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781244</xdr:colOff>
      <xdr:row>21</xdr:row>
      <xdr:rowOff>212090</xdr:rowOff>
    </xdr:from>
    <xdr:to>
      <xdr:col>20</xdr:col>
      <xdr:colOff>1079474</xdr:colOff>
      <xdr:row>29</xdr:row>
      <xdr:rowOff>56515</xdr:rowOff>
    </xdr:to>
    <xdr:sp macro="" textlink="">
      <xdr:nvSpPr>
        <xdr:cNvPr id="16" name="圆角矩形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0976611" y="7417331"/>
          <a:ext cx="10020964" cy="231369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998498</xdr:colOff>
      <xdr:row>22</xdr:row>
      <xdr:rowOff>36830</xdr:rowOff>
    </xdr:from>
    <xdr:to>
      <xdr:col>20</xdr:col>
      <xdr:colOff>999562</xdr:colOff>
      <xdr:row>28</xdr:row>
      <xdr:rowOff>252730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193674</xdr:colOff>
      <xdr:row>3</xdr:row>
      <xdr:rowOff>59690</xdr:rowOff>
    </xdr:from>
    <xdr:to>
      <xdr:col>4</xdr:col>
      <xdr:colOff>27939</xdr:colOff>
      <xdr:row>3</xdr:row>
      <xdr:rowOff>516255</xdr:rowOff>
    </xdr:to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920874" y="1088390"/>
          <a:ext cx="104076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总待收</a:t>
          </a:r>
        </a:p>
      </xdr:txBody>
    </xdr:sp>
    <xdr:clientData/>
  </xdr:twoCellAnchor>
  <xdr:twoCellAnchor>
    <xdr:from>
      <xdr:col>6</xdr:col>
      <xdr:colOff>1102995</xdr:colOff>
      <xdr:row>3</xdr:row>
      <xdr:rowOff>59690</xdr:rowOff>
    </xdr:from>
    <xdr:to>
      <xdr:col>8</xdr:col>
      <xdr:colOff>427355</xdr:colOff>
      <xdr:row>3</xdr:row>
      <xdr:rowOff>516255</xdr:rowOff>
    </xdr:to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6449695" y="1088390"/>
          <a:ext cx="1737360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销售台数</a:t>
          </a:r>
        </a:p>
      </xdr:txBody>
    </xdr:sp>
    <xdr:clientData/>
  </xdr:twoCellAnchor>
  <xdr:twoCellAnchor>
    <xdr:from>
      <xdr:col>11</xdr:col>
      <xdr:colOff>212725</xdr:colOff>
      <xdr:row>3</xdr:row>
      <xdr:rowOff>59690</xdr:rowOff>
    </xdr:from>
    <xdr:to>
      <xdr:col>12</xdr:col>
      <xdr:colOff>441960</xdr:colOff>
      <xdr:row>3</xdr:row>
      <xdr:rowOff>516255</xdr:rowOff>
    </xdr:to>
    <xdr:sp macro="" textlink="">
      <xdr:nvSpPr>
        <xdr:cNvPr id="19" name="文本框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591925" y="1088390"/>
          <a:ext cx="143573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实际出资</a:t>
          </a:r>
        </a:p>
      </xdr:txBody>
    </xdr:sp>
    <xdr:clientData/>
  </xdr:twoCellAnchor>
  <xdr:twoCellAnchor>
    <xdr:from>
      <xdr:col>15</xdr:col>
      <xdr:colOff>901700</xdr:colOff>
      <xdr:row>3</xdr:row>
      <xdr:rowOff>59690</xdr:rowOff>
    </xdr:from>
    <xdr:to>
      <xdr:col>16</xdr:col>
      <xdr:colOff>1130935</xdr:colOff>
      <xdr:row>3</xdr:row>
      <xdr:rowOff>516255</xdr:rowOff>
    </xdr:to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7106900" y="1088390"/>
          <a:ext cx="1435735" cy="45656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800" b="1">
              <a:solidFill>
                <a:schemeClr val="bg1"/>
              </a:solidFill>
              <a:latin typeface="汉仪雅酷黑 55W" panose="020B0504020202020204" charset="-122"/>
              <a:ea typeface="汉仪雅酷黑 55W" panose="020B0504020202020204" charset="-122"/>
            </a:rPr>
            <a:t>毛利</a:t>
          </a:r>
        </a:p>
      </xdr:txBody>
    </xdr:sp>
    <xdr:clientData/>
  </xdr:twoCellAnchor>
  <xdr:twoCellAnchor>
    <xdr:from>
      <xdr:col>7</xdr:col>
      <xdr:colOff>956310</xdr:colOff>
      <xdr:row>3</xdr:row>
      <xdr:rowOff>56515</xdr:rowOff>
    </xdr:from>
    <xdr:to>
      <xdr:col>9</xdr:col>
      <xdr:colOff>762000</xdr:colOff>
      <xdr:row>3</xdr:row>
      <xdr:rowOff>595630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509510" y="1085215"/>
          <a:ext cx="2218690" cy="5391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marL="0" indent="0" algn="ctr" defTabSz="914400" rtl="0" eaLnBrk="1" latinLnBrk="0" hangingPunct="1">
            <a:buClrTx/>
            <a:buSzTx/>
            <a:buFontTx/>
          </a:pPr>
          <a:r>
            <a:rPr lang="en-US" altLang="en-US" sz="1500" b="1" i="0" u="none" strike="noStrike">
              <a:solidFill>
                <a:schemeClr val="bg1"/>
              </a:solidFill>
              <a:latin typeface="Lantinghei SC Heavy" panose="02000000000000000000" pitchFamily="2" charset="-122"/>
              <a:ea typeface="Lantinghei SC Heavy" panose="02000000000000000000" pitchFamily="2" charset="-122"/>
              <a:cs typeface="阿里巴巴普惠体 2.0 105 Heavy" panose="00020600040101010101" pitchFamily="18" charset="-122"/>
            </a:rPr>
            <a:t>1032</a:t>
          </a:r>
        </a:p>
      </xdr:txBody>
    </xdr:sp>
    <xdr:clientData/>
  </xdr:twoCellAnchor>
  <xdr:twoCellAnchor>
    <xdr:from>
      <xdr:col>12</xdr:col>
      <xdr:colOff>327025</xdr:colOff>
      <xdr:row>3</xdr:row>
      <xdr:rowOff>43815</xdr:rowOff>
    </xdr:from>
    <xdr:to>
      <xdr:col>14</xdr:col>
      <xdr:colOff>22225</xdr:colOff>
      <xdr:row>3</xdr:row>
      <xdr:rowOff>608330</xdr:rowOff>
    </xdr:to>
    <xdr:sp macro="" textlink="$T$8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912725" y="1072515"/>
          <a:ext cx="2108200" cy="56451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/>
        <a:p>
          <a:pPr algn="ctr">
            <a:buClrTx/>
            <a:buSzTx/>
            <a:buFontTx/>
          </a:pPr>
          <a:r>
            <a:rPr lang="en-US" altLang="en-US" sz="1500" b="1" i="0" u="none" strike="noStrike">
              <a:solidFill>
                <a:schemeClr val="bg1"/>
              </a:solidFill>
              <a:latin typeface="Lantinghei SC Heavy" panose="02000000000000000000" pitchFamily="2" charset="-122"/>
              <a:ea typeface="Lantinghei SC Heavy" panose="02000000000000000000" pitchFamily="2" charset="-122"/>
              <a:cs typeface="阿里巴巴普惠体 2.0 105 Heavy" panose="00020600040101010101" pitchFamily="18" charset="-122"/>
            </a:rPr>
            <a:t>-856,310</a:t>
          </a:r>
        </a:p>
      </xdr:txBody>
    </xdr:sp>
    <xdr:clientData/>
  </xdr:twoCellAnchor>
  <xdr:twoCellAnchor>
    <xdr:from>
      <xdr:col>16</xdr:col>
      <xdr:colOff>949325</xdr:colOff>
      <xdr:row>3</xdr:row>
      <xdr:rowOff>29527</xdr:rowOff>
    </xdr:from>
    <xdr:to>
      <xdr:col>18</xdr:col>
      <xdr:colOff>353060</xdr:colOff>
      <xdr:row>4</xdr:row>
      <xdr:rowOff>13017</xdr:rowOff>
    </xdr:to>
    <xdr:sp macro="" textlink="$T$11">
      <xdr:nvSpPr>
        <xdr:cNvPr id="4" name="文本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8361025" y="1058227"/>
          <a:ext cx="1816735" cy="5930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/>
        <a:p>
          <a:pPr algn="ctr">
            <a:buClrTx/>
            <a:buSzTx/>
            <a:buFontTx/>
          </a:pPr>
          <a:r>
            <a:rPr lang="en-US" altLang="en-US" sz="1500" b="1" i="0" u="none" strike="noStrike">
              <a:solidFill>
                <a:schemeClr val="bg1"/>
              </a:solidFill>
              <a:latin typeface="Lantinghei SC Heavy" panose="02000000000000000000" pitchFamily="2" charset="-122"/>
              <a:ea typeface="Lantinghei SC Heavy" panose="02000000000000000000" pitchFamily="2" charset="-122"/>
              <a:cs typeface="阿里巴巴普惠体 2.0 105 Heavy" panose="00020600040101010101" pitchFamily="18" charset="-122"/>
            </a:rPr>
            <a:t>856310</a:t>
          </a:r>
        </a:p>
      </xdr:txBody>
    </xdr:sp>
    <xdr:clientData/>
  </xdr:twoCellAnchor>
  <xdr:twoCellAnchor>
    <xdr:from>
      <xdr:col>11</xdr:col>
      <xdr:colOff>771646</xdr:colOff>
      <xdr:row>12</xdr:row>
      <xdr:rowOff>297815</xdr:rowOff>
    </xdr:from>
    <xdr:to>
      <xdr:col>20</xdr:col>
      <xdr:colOff>1085564</xdr:colOff>
      <xdr:row>20</xdr:row>
      <xdr:rowOff>238125</xdr:rowOff>
    </xdr:to>
    <xdr:sp macro="" textlink="">
      <xdr:nvSpPr>
        <xdr:cNvPr id="22" name="圆角矩形 14">
          <a:extLst>
            <a:ext uri="{FF2B5EF4-FFF2-40B4-BE49-F238E27FC236}">
              <a16:creationId xmlns:a16="http://schemas.microsoft.com/office/drawing/2014/main" id="{6C299893-3EAB-4664-9D16-F00FA004FC9B}"/>
            </a:ext>
          </a:extLst>
        </xdr:cNvPr>
        <xdr:cNvSpPr/>
      </xdr:nvSpPr>
      <xdr:spPr>
        <a:xfrm>
          <a:off x="10967013" y="4725131"/>
          <a:ext cx="10036652" cy="240957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endParaRPr lang="zh-CN" altLang="en-US" sz="1100"/>
        </a:p>
      </xdr:txBody>
    </xdr:sp>
    <xdr:clientData/>
  </xdr:twoCellAnchor>
  <xdr:twoCellAnchor>
    <xdr:from>
      <xdr:col>11</xdr:col>
      <xdr:colOff>1010256</xdr:colOff>
      <xdr:row>13</xdr:row>
      <xdr:rowOff>92075</xdr:rowOff>
    </xdr:from>
    <xdr:to>
      <xdr:col>20</xdr:col>
      <xdr:colOff>521402</xdr:colOff>
      <xdr:row>20</xdr:row>
      <xdr:rowOff>66300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488AF727-DC79-4207-9379-58AE24532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885825</xdr:colOff>
      <xdr:row>3</xdr:row>
      <xdr:rowOff>83820</xdr:rowOff>
    </xdr:from>
    <xdr:to>
      <xdr:col>5</xdr:col>
      <xdr:colOff>589280</xdr:colOff>
      <xdr:row>3</xdr:row>
      <xdr:rowOff>568325</xdr:rowOff>
    </xdr:to>
    <xdr:sp macro="" textlink="$T$7">
      <xdr:nvSpPr>
        <xdr:cNvPr id="21" name="文本框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613025" y="1112520"/>
          <a:ext cx="2116455" cy="48450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en-US" sz="1500" b="1" i="0" u="none" strike="noStrike">
              <a:solidFill>
                <a:schemeClr val="bg1"/>
              </a:solidFill>
              <a:latin typeface="Lantinghei SC Heavy" panose="02000000000000000000" pitchFamily="2" charset="-122"/>
              <a:ea typeface="Lantinghei SC Heavy" panose="02000000000000000000" pitchFamily="2" charset="-122"/>
              <a:cs typeface="阿里巴巴普惠体 2.0 105 Heavy" panose="00020600040101010101" pitchFamily="18" charset="-122"/>
            </a:rPr>
            <a:t>2,056,908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showGridLines="0" tabSelected="1" zoomScale="79" zoomScaleNormal="79" workbookViewId="0">
      <selection activeCell="Y28" sqref="Y28"/>
    </sheetView>
  </sheetViews>
  <sheetFormatPr defaultColWidth="9" defaultRowHeight="25.05" customHeight="1"/>
  <cols>
    <col min="1" max="1" width="2.6640625" style="1" customWidth="1"/>
    <col min="2" max="2" width="9.77734375" style="1" customWidth="1"/>
    <col min="3" max="3" width="10.109375" style="1" customWidth="1"/>
    <col min="4" max="20" width="15.77734375" style="1" customWidth="1"/>
    <col min="21" max="21" width="15.88671875" style="1" customWidth="1"/>
    <col min="22" max="22" width="2.21875" style="1" customWidth="1"/>
    <col min="23" max="23" width="7.77734375" style="1" customWidth="1"/>
    <col min="24" max="16384" width="9" style="1"/>
  </cols>
  <sheetData>
    <row r="1" spans="1:22" ht="16.9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43.05" customHeight="1">
      <c r="A2" s="2"/>
      <c r="B2" s="42" t="s">
        <v>234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10"/>
      <c r="T2" s="2"/>
      <c r="U2" s="2"/>
      <c r="V2" s="2"/>
    </row>
    <row r="3" spans="1:22" ht="2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48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10"/>
      <c r="T4" s="2"/>
      <c r="U4" s="2"/>
      <c r="V4" s="2"/>
    </row>
    <row r="5" spans="1:22" ht="13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25.05" customHeight="1">
      <c r="A6" s="2"/>
      <c r="B6" s="36" t="s">
        <v>0</v>
      </c>
      <c r="C6" s="37"/>
      <c r="D6" s="9" t="s">
        <v>1</v>
      </c>
      <c r="E6" s="9" t="s">
        <v>2</v>
      </c>
      <c r="F6" s="9" t="s">
        <v>3</v>
      </c>
      <c r="G6" s="9" t="s">
        <v>4</v>
      </c>
      <c r="H6" s="9" t="s">
        <v>5</v>
      </c>
      <c r="I6" s="9" t="s">
        <v>6</v>
      </c>
      <c r="J6" s="9" t="s">
        <v>7</v>
      </c>
      <c r="K6" s="9" t="s">
        <v>8</v>
      </c>
      <c r="L6" s="9" t="s">
        <v>9</v>
      </c>
      <c r="M6" s="9" t="s">
        <v>10</v>
      </c>
      <c r="N6" s="9" t="s">
        <v>11</v>
      </c>
      <c r="O6" s="9" t="s">
        <v>12</v>
      </c>
      <c r="P6" s="9" t="s">
        <v>232</v>
      </c>
      <c r="Q6" s="9" t="s">
        <v>2</v>
      </c>
      <c r="R6" s="9" t="s">
        <v>3</v>
      </c>
      <c r="S6" s="9" t="s">
        <v>4</v>
      </c>
      <c r="T6" s="9" t="s">
        <v>233</v>
      </c>
      <c r="U6" s="44">
        <v>46023</v>
      </c>
      <c r="V6" s="2"/>
    </row>
    <row r="7" spans="1:22" ht="31.05" customHeight="1">
      <c r="A7" s="2"/>
      <c r="B7" s="40" t="s">
        <v>16</v>
      </c>
      <c r="C7" s="39"/>
      <c r="D7" s="6">
        <v>800626.29</v>
      </c>
      <c r="E7" s="3">
        <v>793161.06</v>
      </c>
      <c r="F7" s="3">
        <v>1142292.3899999999</v>
      </c>
      <c r="G7" s="3">
        <v>1714884.93</v>
      </c>
      <c r="H7" s="3">
        <v>2183231.08</v>
      </c>
      <c r="I7" s="3">
        <v>3507316.59</v>
      </c>
      <c r="J7" s="3">
        <v>5019746.53</v>
      </c>
      <c r="K7" s="3">
        <v>5853230.2000000002</v>
      </c>
      <c r="L7" s="3">
        <v>5711282.0300000003</v>
      </c>
      <c r="M7" s="3">
        <v>5436475.5300000003</v>
      </c>
      <c r="N7" s="3">
        <v>5559407.0300000003</v>
      </c>
      <c r="O7" s="3">
        <v>5348382.13</v>
      </c>
      <c r="P7" s="3">
        <v>5200520.71</v>
      </c>
      <c r="Q7" s="3">
        <v>4586266.71</v>
      </c>
      <c r="R7" s="3">
        <v>3992471.09</v>
      </c>
      <c r="S7" s="3">
        <v>3647526.83</v>
      </c>
      <c r="T7" s="3">
        <f>2460085-186648.5</f>
        <v>2273436.5</v>
      </c>
      <c r="U7" s="7">
        <v>2056907.71</v>
      </c>
      <c r="V7" s="2"/>
    </row>
    <row r="8" spans="1:22" ht="31.05" customHeight="1">
      <c r="A8" s="2"/>
      <c r="B8" s="41" t="s">
        <v>15</v>
      </c>
      <c r="C8" s="35"/>
      <c r="D8" s="7">
        <v>583142.52</v>
      </c>
      <c r="E8" s="4">
        <v>601810.82999999996</v>
      </c>
      <c r="F8" s="4">
        <v>750121.68</v>
      </c>
      <c r="G8" s="4">
        <v>1113441</v>
      </c>
      <c r="H8" s="4">
        <v>1484821.67</v>
      </c>
      <c r="I8" s="4">
        <v>2204088.4700000002</v>
      </c>
      <c r="J8" s="4">
        <v>3202144.58</v>
      </c>
      <c r="K8" s="4">
        <v>3707302.54</v>
      </c>
      <c r="L8" s="4">
        <v>3309735.05</v>
      </c>
      <c r="M8" s="4">
        <v>3014485.94</v>
      </c>
      <c r="N8" s="4">
        <v>2806620.94</v>
      </c>
      <c r="O8" s="4">
        <v>2634352.94</v>
      </c>
      <c r="P8" s="4">
        <v>2016458.54</v>
      </c>
      <c r="Q8" s="4">
        <v>1412204.54</v>
      </c>
      <c r="R8" s="4">
        <v>826605.42</v>
      </c>
      <c r="S8" s="4">
        <v>437198.09</v>
      </c>
      <c r="T8" s="4">
        <f>-427790-186648.5</f>
        <v>-614438.5</v>
      </c>
      <c r="U8" s="7">
        <v>-856310</v>
      </c>
      <c r="V8" s="2"/>
    </row>
    <row r="9" spans="1:22" ht="31.05" customHeight="1">
      <c r="A9" s="2"/>
      <c r="B9" s="40" t="s">
        <v>17</v>
      </c>
      <c r="C9" s="39"/>
      <c r="D9" s="7">
        <v>75330</v>
      </c>
      <c r="E9" s="4">
        <v>176946.44</v>
      </c>
      <c r="F9" s="4">
        <v>225010.15</v>
      </c>
      <c r="G9" s="4">
        <v>395218.53</v>
      </c>
      <c r="H9" s="4">
        <v>687467.05</v>
      </c>
      <c r="I9" s="4">
        <v>866870.69</v>
      </c>
      <c r="J9" s="4">
        <v>1262962.8600000001</v>
      </c>
      <c r="K9" s="4">
        <v>1637155.55</v>
      </c>
      <c r="L9" s="4">
        <v>1857818.73</v>
      </c>
      <c r="M9" s="4">
        <v>2191337.62</v>
      </c>
      <c r="N9" s="4">
        <v>2335110.17</v>
      </c>
      <c r="O9" s="4">
        <v>2671996.02</v>
      </c>
      <c r="P9" s="4">
        <v>2671996.02</v>
      </c>
      <c r="Q9" s="4">
        <v>2671996.02</v>
      </c>
      <c r="R9" s="4">
        <v>2671996.02</v>
      </c>
      <c r="S9" s="4">
        <v>2528824.7799999998</v>
      </c>
      <c r="T9" s="4">
        <v>2580296.02</v>
      </c>
      <c r="U9" s="7">
        <v>2439236.02</v>
      </c>
      <c r="V9" s="10"/>
    </row>
    <row r="10" spans="1:22" ht="31.05" customHeight="1">
      <c r="A10" s="2"/>
      <c r="B10" s="40" t="s">
        <v>235</v>
      </c>
      <c r="C10" s="39"/>
      <c r="D10" s="7">
        <v>0</v>
      </c>
      <c r="E10" s="4">
        <v>49797.440000000002</v>
      </c>
      <c r="F10" s="4">
        <v>0</v>
      </c>
      <c r="G10" s="4">
        <v>27200.67</v>
      </c>
      <c r="H10" s="4">
        <v>46606.61</v>
      </c>
      <c r="I10" s="4">
        <v>104687.88</v>
      </c>
      <c r="J10" s="4">
        <v>391367.54</v>
      </c>
      <c r="K10" s="4">
        <v>685629.12</v>
      </c>
      <c r="L10" s="4">
        <v>759430.46</v>
      </c>
      <c r="M10" s="4">
        <v>1000438.08</v>
      </c>
      <c r="N10" s="4">
        <v>1019315.38</v>
      </c>
      <c r="O10" s="4">
        <v>1451169.38</v>
      </c>
      <c r="P10" s="4">
        <v>1525081.08</v>
      </c>
      <c r="Q10" s="4">
        <v>2172446.7000000002</v>
      </c>
      <c r="R10" s="4">
        <v>2067336.72</v>
      </c>
      <c r="S10" s="4">
        <v>2142722.2200000002</v>
      </c>
      <c r="T10" s="4">
        <v>2460084.58</v>
      </c>
      <c r="U10" s="7">
        <v>2056907.71</v>
      </c>
      <c r="V10" s="2"/>
    </row>
    <row r="11" spans="1:22" ht="31.05" customHeight="1">
      <c r="A11" s="2"/>
      <c r="B11" s="40" t="s">
        <v>13</v>
      </c>
      <c r="C11" s="39"/>
      <c r="D11" s="7">
        <f t="shared" ref="D11:N11" si="0">D7-D8</f>
        <v>217483.77000000002</v>
      </c>
      <c r="E11" s="7">
        <f>E7-E8</f>
        <v>191350.2300000001</v>
      </c>
      <c r="F11" s="7">
        <f t="shared" si="0"/>
        <v>392170.70999999985</v>
      </c>
      <c r="G11" s="7">
        <f>G7-G8-G10</f>
        <v>574243.25999999989</v>
      </c>
      <c r="H11" s="7">
        <f t="shared" ref="H11:U11" si="1">H7-H8-H10</f>
        <v>651802.80000000016</v>
      </c>
      <c r="I11" s="7">
        <f t="shared" si="1"/>
        <v>1198540.2399999998</v>
      </c>
      <c r="J11" s="7">
        <f t="shared" si="1"/>
        <v>1426234.4100000001</v>
      </c>
      <c r="K11" s="7">
        <f t="shared" si="1"/>
        <v>1460298.54</v>
      </c>
      <c r="L11" s="7">
        <f t="shared" si="1"/>
        <v>1642116.5200000005</v>
      </c>
      <c r="M11" s="7">
        <f t="shared" si="1"/>
        <v>1421551.5100000002</v>
      </c>
      <c r="N11" s="7">
        <f t="shared" si="1"/>
        <v>1733470.7100000004</v>
      </c>
      <c r="O11" s="7">
        <f t="shared" si="1"/>
        <v>1262859.81</v>
      </c>
      <c r="P11" s="7">
        <f t="shared" si="1"/>
        <v>1658981.0899999999</v>
      </c>
      <c r="Q11" s="7">
        <f t="shared" si="1"/>
        <v>1001615.4699999997</v>
      </c>
      <c r="R11" s="7">
        <f t="shared" si="1"/>
        <v>1098528.95</v>
      </c>
      <c r="S11" s="7">
        <f t="shared" si="1"/>
        <v>1067606.52</v>
      </c>
      <c r="T11" s="7">
        <f t="shared" si="1"/>
        <v>427790.41999999993</v>
      </c>
      <c r="U11" s="7">
        <f>U7-U8-U10</f>
        <v>856310</v>
      </c>
      <c r="V11" s="2"/>
    </row>
    <row r="12" spans="1:22" ht="31.05" customHeight="1">
      <c r="A12" s="2"/>
      <c r="B12" s="41" t="s">
        <v>14</v>
      </c>
      <c r="C12" s="35"/>
      <c r="D12" s="8">
        <f>D11/D7</f>
        <v>0.27164205412240461</v>
      </c>
      <c r="E12" s="5">
        <f>E11/E7</f>
        <v>0.24125015668318373</v>
      </c>
      <c r="F12" s="5">
        <f>F11/F7</f>
        <v>0.34331902535041825</v>
      </c>
      <c r="G12" s="5">
        <f>G11/G7</f>
        <v>0.33485818783187971</v>
      </c>
      <c r="H12" s="5">
        <f>H11/H7</f>
        <v>0.2985496157374235</v>
      </c>
      <c r="I12" s="5">
        <f>I11/I7</f>
        <v>0.34172570660352042</v>
      </c>
      <c r="J12" s="5">
        <f>J11/J7</f>
        <v>0.28412478627680832</v>
      </c>
      <c r="K12" s="5">
        <f>K11/K7</f>
        <v>0.24948592317452337</v>
      </c>
      <c r="L12" s="5">
        <f>L11/L7</f>
        <v>0.28752152518022306</v>
      </c>
      <c r="M12" s="5">
        <f>M11/M7</f>
        <v>0.26148402621431466</v>
      </c>
      <c r="N12" s="5">
        <f>N11/N7</f>
        <v>0.31180856171274085</v>
      </c>
      <c r="O12" s="5">
        <f>O11/O7</f>
        <v>0.23611996661876516</v>
      </c>
      <c r="P12" s="5">
        <f>P11/P7</f>
        <v>0.31900288115572178</v>
      </c>
      <c r="Q12" s="5">
        <f>Q11/Q7</f>
        <v>0.21839450981253547</v>
      </c>
      <c r="R12" s="5">
        <f>R11/R7</f>
        <v>0.27515013264629551</v>
      </c>
      <c r="S12" s="5">
        <f>S11/S7</f>
        <v>0.29269326032620302</v>
      </c>
      <c r="T12" s="5">
        <f>T11/T7</f>
        <v>0.18816906476165043</v>
      </c>
      <c r="U12" s="5">
        <f>U11/U7</f>
        <v>0.41630939289930513</v>
      </c>
      <c r="V12" s="2"/>
    </row>
    <row r="13" spans="1:22" ht="25.0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25.0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25.0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25.0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25.0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25.0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25.0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25.0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25.0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25.0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25.0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25.0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25.0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25.0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25.0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25.0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25.0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25.0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25.0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25.0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25.05" customHeight="1">
      <c r="A33" s="2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2"/>
      <c r="R33" s="2"/>
      <c r="S33" s="2"/>
      <c r="T33" s="2"/>
      <c r="U33" s="2"/>
      <c r="V33" s="2"/>
    </row>
    <row r="34" spans="1:22" ht="25.0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25.0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25.0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25.0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25.0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25.0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25.05" customHeight="1">
      <c r="A40" s="2"/>
      <c r="B40" s="36" t="s">
        <v>0</v>
      </c>
      <c r="C40" s="37"/>
      <c r="D40" s="9" t="s">
        <v>1</v>
      </c>
      <c r="E40" s="9" t="s">
        <v>2</v>
      </c>
      <c r="F40" s="9" t="s">
        <v>3</v>
      </c>
      <c r="G40" s="9" t="s">
        <v>4</v>
      </c>
      <c r="H40" s="9" t="s">
        <v>5</v>
      </c>
      <c r="I40" s="9" t="s">
        <v>6</v>
      </c>
      <c r="J40" s="9" t="s">
        <v>7</v>
      </c>
      <c r="K40" s="9" t="s">
        <v>8</v>
      </c>
      <c r="L40" s="9" t="s">
        <v>9</v>
      </c>
      <c r="M40" s="9" t="s">
        <v>10</v>
      </c>
      <c r="N40" s="9" t="s">
        <v>11</v>
      </c>
      <c r="O40" s="9" t="s">
        <v>12</v>
      </c>
      <c r="P40" s="9" t="s">
        <v>232</v>
      </c>
      <c r="Q40" s="9" t="s">
        <v>2</v>
      </c>
      <c r="R40" s="9" t="s">
        <v>3</v>
      </c>
      <c r="S40" s="9" t="s">
        <v>4</v>
      </c>
      <c r="T40" s="9" t="s">
        <v>5</v>
      </c>
      <c r="U40" s="2"/>
      <c r="V40" s="2"/>
    </row>
    <row r="41" spans="1:22" ht="25.05" customHeight="1">
      <c r="A41" s="2"/>
      <c r="B41" s="38" t="s">
        <v>19</v>
      </c>
      <c r="C41" s="39"/>
      <c r="D41" s="6">
        <v>7000</v>
      </c>
      <c r="E41" s="3">
        <v>81494.05</v>
      </c>
      <c r="F41" s="3">
        <v>30150</v>
      </c>
      <c r="G41" s="3">
        <v>103840</v>
      </c>
      <c r="H41" s="3">
        <v>108740</v>
      </c>
      <c r="I41" s="3">
        <v>116400</v>
      </c>
      <c r="J41" s="3">
        <v>261300</v>
      </c>
      <c r="K41" s="3">
        <v>242570</v>
      </c>
      <c r="L41" s="3">
        <v>188520</v>
      </c>
      <c r="M41" s="3">
        <v>157875</v>
      </c>
      <c r="N41" s="3">
        <v>115052.29</v>
      </c>
      <c r="O41" s="3">
        <v>111549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2"/>
      <c r="V41" s="2"/>
    </row>
    <row r="42" spans="1:22" ht="25.05" customHeight="1">
      <c r="A42" s="12"/>
      <c r="B42" s="32" t="s">
        <v>22</v>
      </c>
      <c r="C42" s="33"/>
      <c r="D42" s="6">
        <v>6630</v>
      </c>
      <c r="E42" s="3">
        <v>1500</v>
      </c>
      <c r="F42" s="3">
        <v>5550</v>
      </c>
      <c r="G42" s="3">
        <v>21150</v>
      </c>
      <c r="H42" s="3">
        <v>7500</v>
      </c>
      <c r="I42" s="3">
        <v>16480</v>
      </c>
      <c r="J42" s="3">
        <v>30360</v>
      </c>
      <c r="K42" s="3">
        <v>16080</v>
      </c>
      <c r="L42" s="3">
        <v>10680</v>
      </c>
      <c r="M42" s="3">
        <v>7860</v>
      </c>
      <c r="N42" s="3">
        <v>10140</v>
      </c>
      <c r="O42" s="3">
        <v>160360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2"/>
      <c r="V42" s="2"/>
    </row>
    <row r="43" spans="1:22" ht="25.05" customHeight="1">
      <c r="A43" s="2"/>
      <c r="B43" s="34" t="s">
        <v>20</v>
      </c>
      <c r="C43" s="35"/>
      <c r="D43" s="7">
        <v>61200</v>
      </c>
      <c r="E43" s="4">
        <v>12622.39</v>
      </c>
      <c r="F43" s="4">
        <v>2363.71</v>
      </c>
      <c r="G43" s="4">
        <v>26218.38</v>
      </c>
      <c r="H43" s="4">
        <v>129626.52</v>
      </c>
      <c r="I43" s="4">
        <v>25323.64</v>
      </c>
      <c r="J43" s="4">
        <v>35945.89</v>
      </c>
      <c r="K43" s="4">
        <v>15769.41</v>
      </c>
      <c r="L43" s="4">
        <v>7863.18</v>
      </c>
      <c r="M43" s="4">
        <v>38235.69</v>
      </c>
      <c r="N43" s="4">
        <v>3757.87</v>
      </c>
      <c r="O43" s="3">
        <v>1300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2"/>
      <c r="V43" s="2"/>
    </row>
    <row r="44" spans="1:22" ht="25.05" customHeight="1">
      <c r="A44" s="2"/>
      <c r="B44" s="34" t="s">
        <v>18</v>
      </c>
      <c r="C44" s="35"/>
      <c r="D44" s="7">
        <v>500</v>
      </c>
      <c r="E44" s="4">
        <v>6000</v>
      </c>
      <c r="F44" s="4">
        <v>10000</v>
      </c>
      <c r="G44" s="4">
        <v>19000</v>
      </c>
      <c r="H44" s="4">
        <v>46382</v>
      </c>
      <c r="I44" s="4">
        <v>21200</v>
      </c>
      <c r="J44" s="4">
        <v>68486.28</v>
      </c>
      <c r="K44" s="4">
        <v>99773.282999999996</v>
      </c>
      <c r="L44" s="4">
        <v>13600</v>
      </c>
      <c r="M44" s="4">
        <v>129548.2</v>
      </c>
      <c r="N44" s="4">
        <v>14822.39</v>
      </c>
      <c r="O44" s="3">
        <v>62474.1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2"/>
      <c r="V44" s="2"/>
    </row>
    <row r="45" spans="1:22" ht="25.05" customHeight="1">
      <c r="A45" s="2"/>
      <c r="B45" s="34" t="s">
        <v>21</v>
      </c>
      <c r="C45" s="35"/>
      <c r="D45" s="11">
        <f>SUM(D41:D44)</f>
        <v>75330</v>
      </c>
      <c r="E45" s="11">
        <f t="shared" ref="E45:N45" si="2">SUM(E41:E44)</f>
        <v>101616.44</v>
      </c>
      <c r="F45" s="11">
        <f t="shared" si="2"/>
        <v>48063.71</v>
      </c>
      <c r="G45" s="11">
        <f t="shared" si="2"/>
        <v>170208.38</v>
      </c>
      <c r="H45" s="11">
        <f t="shared" si="2"/>
        <v>292248.52</v>
      </c>
      <c r="I45" s="11">
        <f t="shared" si="2"/>
        <v>179403.64</v>
      </c>
      <c r="J45" s="11">
        <f t="shared" si="2"/>
        <v>396092.17000000004</v>
      </c>
      <c r="K45" s="11">
        <f t="shared" si="2"/>
        <v>374192.69299999997</v>
      </c>
      <c r="L45" s="11">
        <f t="shared" si="2"/>
        <v>220663.18</v>
      </c>
      <c r="M45" s="11">
        <f t="shared" si="2"/>
        <v>333518.89</v>
      </c>
      <c r="N45" s="11">
        <f t="shared" si="2"/>
        <v>143772.54999999999</v>
      </c>
      <c r="O45" s="3">
        <v>336885.85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2"/>
      <c r="V45" s="2"/>
    </row>
    <row r="46" spans="1:22" ht="25.05" customHeight="1">
      <c r="A46" s="2"/>
      <c r="B46" s="34" t="s">
        <v>24</v>
      </c>
      <c r="C46" s="35"/>
      <c r="D46" s="11">
        <f>SUM(D45)</f>
        <v>75330</v>
      </c>
      <c r="E46" s="11">
        <f>D46+E45</f>
        <v>176946.44</v>
      </c>
      <c r="F46" s="11">
        <f>E46+F45</f>
        <v>225010.15</v>
      </c>
      <c r="G46" s="11">
        <f t="shared" ref="G46:O46" si="3">F46+G45</f>
        <v>395218.53</v>
      </c>
      <c r="H46" s="11">
        <f t="shared" si="3"/>
        <v>687467.05</v>
      </c>
      <c r="I46" s="11">
        <f t="shared" si="3"/>
        <v>866870.69000000006</v>
      </c>
      <c r="J46" s="11">
        <f t="shared" si="3"/>
        <v>1262962.8600000001</v>
      </c>
      <c r="K46" s="11">
        <f t="shared" si="3"/>
        <v>1637155.5530000001</v>
      </c>
      <c r="L46" s="11">
        <f t="shared" si="3"/>
        <v>1857818.733</v>
      </c>
      <c r="M46" s="11">
        <f t="shared" si="3"/>
        <v>2191337.6230000001</v>
      </c>
      <c r="N46" s="11">
        <f t="shared" si="3"/>
        <v>2335110.173</v>
      </c>
      <c r="O46" s="11">
        <f t="shared" si="3"/>
        <v>2671996.023</v>
      </c>
      <c r="P46" s="11">
        <f t="shared" ref="P46" si="4">O46+P45</f>
        <v>2671996.023</v>
      </c>
      <c r="Q46" s="11">
        <f t="shared" ref="Q46" si="5">P46+Q45</f>
        <v>2671996.023</v>
      </c>
      <c r="R46" s="11">
        <f t="shared" ref="R46:S46" si="6">Q46+R45</f>
        <v>2671996.023</v>
      </c>
      <c r="S46" s="11">
        <f t="shared" si="6"/>
        <v>2671996.023</v>
      </c>
      <c r="T46" s="11">
        <f>S46+T45</f>
        <v>2671996.023</v>
      </c>
      <c r="U46" s="2"/>
      <c r="V46" s="2"/>
    </row>
    <row r="47" spans="1:22" ht="25.05" customHeight="1">
      <c r="A47" s="2"/>
      <c r="B47" s="31" t="s">
        <v>23</v>
      </c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2"/>
      <c r="Q47" s="2"/>
      <c r="R47" s="2"/>
      <c r="S47" s="2"/>
      <c r="T47" s="2"/>
      <c r="U47" s="2"/>
      <c r="V47" s="2"/>
    </row>
    <row r="48" spans="1:22" ht="25.05" customHeight="1">
      <c r="A48" s="2"/>
      <c r="B48" s="13"/>
      <c r="C48" s="14"/>
      <c r="D48" s="14"/>
      <c r="E48" s="10">
        <f>E9-E46</f>
        <v>0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2"/>
      <c r="Q48" s="2"/>
      <c r="R48" s="2"/>
      <c r="S48" s="2"/>
      <c r="T48" s="2"/>
      <c r="U48" s="2"/>
      <c r="V48" s="2"/>
    </row>
    <row r="50" spans="15:15" ht="25.05" customHeight="1">
      <c r="O50" s="15"/>
    </row>
  </sheetData>
  <mergeCells count="17">
    <mergeCell ref="B11:C11"/>
    <mergeCell ref="B12:C12"/>
    <mergeCell ref="B9:C9"/>
    <mergeCell ref="B2:R2"/>
    <mergeCell ref="B45:C45"/>
    <mergeCell ref="B33:P33"/>
    <mergeCell ref="B6:C6"/>
    <mergeCell ref="B7:C7"/>
    <mergeCell ref="B8:C8"/>
    <mergeCell ref="B10:C10"/>
    <mergeCell ref="B47:O47"/>
    <mergeCell ref="B42:C42"/>
    <mergeCell ref="B46:C46"/>
    <mergeCell ref="B40:C40"/>
    <mergeCell ref="B41:C41"/>
    <mergeCell ref="B43:C43"/>
    <mergeCell ref="B44:C44"/>
  </mergeCells>
  <phoneticPr fontId="4" type="noConversion"/>
  <pageMargins left="0.56999999999999995" right="0.23622047244094491" top="0.19685039370078741" bottom="0.16" header="0.31496062992125984" footer="0.31496062992125984"/>
  <pageSetup paperSize="9"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DCE2-3EC3-4268-B8F2-669D4B050EDA}">
  <dimension ref="A1:B12"/>
  <sheetViews>
    <sheetView workbookViewId="0">
      <selection activeCell="D22" sqref="D22"/>
    </sheetView>
  </sheetViews>
  <sheetFormatPr defaultColWidth="8.77734375" defaultRowHeight="14.4"/>
  <sheetData>
    <row r="1" spans="1:2">
      <c r="A1">
        <v>68700</v>
      </c>
      <c r="B1">
        <v>6630</v>
      </c>
    </row>
    <row r="2" spans="1:2">
      <c r="A2">
        <v>168816.44</v>
      </c>
      <c r="B2">
        <v>8130</v>
      </c>
    </row>
    <row r="3" spans="1:2">
      <c r="A3">
        <v>211330.15</v>
      </c>
      <c r="B3">
        <v>13680</v>
      </c>
    </row>
    <row r="4" spans="1:2">
      <c r="A4">
        <v>360388.53</v>
      </c>
      <c r="B4">
        <v>34830</v>
      </c>
    </row>
    <row r="5" spans="1:2">
      <c r="A5">
        <v>645137.05000000005</v>
      </c>
      <c r="B5">
        <v>42330</v>
      </c>
    </row>
    <row r="6" spans="1:2">
      <c r="A6">
        <v>808060.69</v>
      </c>
      <c r="B6">
        <v>58810</v>
      </c>
    </row>
    <row r="7" spans="1:2">
      <c r="A7">
        <v>1173792.8600000001</v>
      </c>
      <c r="B7">
        <v>89170</v>
      </c>
    </row>
    <row r="8" spans="1:2">
      <c r="A8">
        <v>1531905.55</v>
      </c>
      <c r="B8">
        <v>105250</v>
      </c>
    </row>
    <row r="9" spans="1:2">
      <c r="A9">
        <v>1741888.73</v>
      </c>
      <c r="B9">
        <v>115930</v>
      </c>
    </row>
    <row r="10" spans="1:2">
      <c r="A10">
        <v>2067547.62</v>
      </c>
      <c r="B10">
        <v>123790</v>
      </c>
    </row>
    <row r="11" spans="1:2">
      <c r="A11">
        <v>2201180.17</v>
      </c>
      <c r="B11">
        <v>133930</v>
      </c>
    </row>
    <row r="12" spans="1:2">
      <c r="A12">
        <v>2562726.17</v>
      </c>
      <c r="B12">
        <v>139690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E009A-B1AC-4DC5-9FF9-3D9EA78ABE84}">
  <dimension ref="A1:M257"/>
  <sheetViews>
    <sheetView topLeftCell="A238" workbookViewId="0">
      <selection activeCell="J266" sqref="J266"/>
    </sheetView>
  </sheetViews>
  <sheetFormatPr defaultColWidth="8.77734375" defaultRowHeight="14.4"/>
  <cols>
    <col min="1" max="1" width="12.44140625" customWidth="1"/>
    <col min="11" max="11" width="15" customWidth="1"/>
    <col min="12" max="12" width="59.6640625" customWidth="1"/>
  </cols>
  <sheetData>
    <row r="1" spans="1:12">
      <c r="A1" s="17" t="s">
        <v>25</v>
      </c>
      <c r="B1" s="23"/>
      <c r="C1" s="17"/>
      <c r="D1" s="16"/>
      <c r="E1" s="16"/>
      <c r="F1" s="16"/>
      <c r="G1" s="16"/>
      <c r="H1" s="16"/>
      <c r="I1" s="16">
        <v>-10000</v>
      </c>
      <c r="J1" s="16"/>
      <c r="K1" s="16" t="s">
        <v>26</v>
      </c>
      <c r="L1" s="18" t="s">
        <v>27</v>
      </c>
    </row>
    <row r="2" spans="1:12">
      <c r="A2" s="17" t="s">
        <v>25</v>
      </c>
      <c r="B2" s="23"/>
      <c r="C2" s="17"/>
      <c r="D2" s="16"/>
      <c r="E2" s="16"/>
      <c r="F2" s="16"/>
      <c r="G2" s="16"/>
      <c r="H2" s="16"/>
      <c r="I2" s="16">
        <v>-50000</v>
      </c>
      <c r="J2" s="16"/>
      <c r="K2" s="16" t="s">
        <v>26</v>
      </c>
      <c r="L2" s="18" t="s">
        <v>28</v>
      </c>
    </row>
    <row r="3" spans="1:12">
      <c r="A3" s="19">
        <v>45301</v>
      </c>
      <c r="B3" s="24"/>
      <c r="C3" s="25"/>
      <c r="D3" s="26"/>
      <c r="E3" s="26"/>
      <c r="F3" s="26"/>
      <c r="G3" s="26"/>
      <c r="H3" s="26"/>
      <c r="I3" s="16">
        <v>-500</v>
      </c>
      <c r="J3" s="16"/>
      <c r="K3" s="16" t="s">
        <v>29</v>
      </c>
      <c r="L3" s="18"/>
    </row>
    <row r="4" spans="1:12">
      <c r="A4" s="20">
        <v>45308</v>
      </c>
      <c r="B4" s="27"/>
      <c r="C4" s="17"/>
      <c r="D4" s="16"/>
      <c r="E4" s="16"/>
      <c r="F4" s="16"/>
      <c r="G4" s="16"/>
      <c r="H4" s="16"/>
      <c r="I4" s="16">
        <v>-5000</v>
      </c>
      <c r="J4" s="16"/>
      <c r="K4" s="16" t="s">
        <v>30</v>
      </c>
      <c r="L4" s="18" t="s">
        <v>31</v>
      </c>
    </row>
    <row r="5" spans="1:12">
      <c r="A5" s="20">
        <v>45309</v>
      </c>
      <c r="B5" s="27"/>
      <c r="C5" s="17"/>
      <c r="D5" s="16"/>
      <c r="E5" s="16"/>
      <c r="F5" s="16"/>
      <c r="G5" s="16"/>
      <c r="H5" s="16"/>
      <c r="I5" s="16">
        <v>-500</v>
      </c>
      <c r="J5" s="16"/>
      <c r="K5" s="16" t="s">
        <v>26</v>
      </c>
      <c r="L5" s="18" t="s">
        <v>32</v>
      </c>
    </row>
    <row r="6" spans="1:12">
      <c r="A6" s="20">
        <v>45314</v>
      </c>
      <c r="B6" s="27"/>
      <c r="C6" s="17"/>
      <c r="D6" s="16"/>
      <c r="E6" s="16"/>
      <c r="F6" s="16"/>
      <c r="G6" s="16"/>
      <c r="H6" s="16"/>
      <c r="I6" s="16">
        <v>-700</v>
      </c>
      <c r="J6" s="16"/>
      <c r="K6" s="16" t="s">
        <v>26</v>
      </c>
      <c r="L6" s="18" t="s">
        <v>33</v>
      </c>
    </row>
    <row r="7" spans="1:12">
      <c r="A7" s="20">
        <v>45317</v>
      </c>
      <c r="B7" s="28"/>
      <c r="C7" s="29"/>
      <c r="D7" s="30"/>
      <c r="E7" s="30"/>
      <c r="F7" s="30"/>
      <c r="G7" s="30"/>
      <c r="H7" s="30"/>
      <c r="I7" s="16">
        <v>-2000</v>
      </c>
      <c r="J7" s="16"/>
      <c r="K7" s="16" t="s">
        <v>30</v>
      </c>
      <c r="L7" s="18" t="s">
        <v>34</v>
      </c>
    </row>
    <row r="8" spans="1:12">
      <c r="A8" s="20">
        <v>45323</v>
      </c>
      <c r="B8" s="28"/>
      <c r="C8" s="29"/>
      <c r="D8" s="30"/>
      <c r="E8" s="30"/>
      <c r="F8" s="30"/>
      <c r="G8" s="30"/>
      <c r="H8" s="30"/>
      <c r="I8" s="16">
        <v>-4000</v>
      </c>
      <c r="J8" s="16"/>
      <c r="K8" s="16" t="s">
        <v>30</v>
      </c>
      <c r="L8" s="18" t="s">
        <v>35</v>
      </c>
    </row>
    <row r="9" spans="1:12">
      <c r="A9" s="20">
        <v>45323</v>
      </c>
      <c r="B9" s="23"/>
      <c r="C9" s="17"/>
      <c r="D9" s="16"/>
      <c r="E9" s="16"/>
      <c r="F9" s="16"/>
      <c r="G9" s="16"/>
      <c r="H9" s="16"/>
      <c r="I9" s="17">
        <v>-5813.03</v>
      </c>
      <c r="J9" s="16"/>
      <c r="K9" s="16" t="s">
        <v>26</v>
      </c>
      <c r="L9" s="18" t="s">
        <v>36</v>
      </c>
    </row>
    <row r="10" spans="1:12">
      <c r="A10" s="20">
        <v>45323</v>
      </c>
      <c r="B10" s="27"/>
      <c r="C10" s="17"/>
      <c r="D10" s="16"/>
      <c r="E10" s="16"/>
      <c r="F10" s="16"/>
      <c r="G10" s="16"/>
      <c r="H10" s="16"/>
      <c r="I10" s="16">
        <v>-300</v>
      </c>
      <c r="J10" s="16"/>
      <c r="K10" s="16" t="s">
        <v>26</v>
      </c>
      <c r="L10" s="18"/>
    </row>
    <row r="11" spans="1:12">
      <c r="A11" s="20">
        <v>45323</v>
      </c>
      <c r="B11" s="24"/>
      <c r="C11" s="25"/>
      <c r="D11" s="26"/>
      <c r="E11" s="26"/>
      <c r="F11" s="26"/>
      <c r="G11" s="26"/>
      <c r="H11" s="26"/>
      <c r="I11" s="16">
        <v>-500</v>
      </c>
      <c r="J11" s="16"/>
      <c r="K11" s="16" t="s">
        <v>29</v>
      </c>
      <c r="L11" s="18"/>
    </row>
    <row r="12" spans="1:12">
      <c r="A12" s="20">
        <v>45324</v>
      </c>
      <c r="B12" s="27"/>
      <c r="C12" s="27"/>
      <c r="D12" s="27"/>
      <c r="E12" s="27"/>
      <c r="F12" s="27"/>
      <c r="G12" s="27"/>
      <c r="H12" s="27"/>
      <c r="I12" s="16">
        <v>-61994.05</v>
      </c>
      <c r="J12" s="16"/>
      <c r="K12" s="16" t="s">
        <v>37</v>
      </c>
      <c r="L12" s="18" t="s">
        <v>38</v>
      </c>
    </row>
    <row r="13" spans="1:12">
      <c r="A13" s="20">
        <v>45324</v>
      </c>
      <c r="B13" s="27"/>
      <c r="C13" s="17"/>
      <c r="D13" s="16"/>
      <c r="E13" s="16"/>
      <c r="F13" s="16"/>
      <c r="G13" s="16"/>
      <c r="H13" s="16"/>
      <c r="I13" s="16">
        <v>-474.8</v>
      </c>
      <c r="J13" s="16"/>
      <c r="K13" s="16" t="s">
        <v>26</v>
      </c>
      <c r="L13" s="18" t="s">
        <v>39</v>
      </c>
    </row>
    <row r="14" spans="1:12">
      <c r="A14" s="20">
        <v>45326</v>
      </c>
      <c r="B14" s="27"/>
      <c r="C14" s="17"/>
      <c r="D14" s="16"/>
      <c r="E14" s="16"/>
      <c r="F14" s="16"/>
      <c r="G14" s="16"/>
      <c r="H14" s="16"/>
      <c r="I14" s="16">
        <v>-100</v>
      </c>
      <c r="J14" s="16"/>
      <c r="K14" s="16" t="s">
        <v>26</v>
      </c>
      <c r="L14" s="18"/>
    </row>
    <row r="15" spans="1:12">
      <c r="A15" s="20">
        <v>45326</v>
      </c>
      <c r="B15" s="27"/>
      <c r="C15" s="17"/>
      <c r="D15" s="16"/>
      <c r="E15" s="16"/>
      <c r="F15" s="16"/>
      <c r="G15" s="16"/>
      <c r="H15" s="16"/>
      <c r="I15" s="16">
        <v>-2917.4</v>
      </c>
      <c r="J15" s="16"/>
      <c r="K15" s="16" t="s">
        <v>26</v>
      </c>
      <c r="L15" s="18" t="s">
        <v>40</v>
      </c>
    </row>
    <row r="16" spans="1:12">
      <c r="A16" s="20">
        <v>45326</v>
      </c>
      <c r="B16" s="27"/>
      <c r="C16" s="17"/>
      <c r="D16" s="16"/>
      <c r="E16" s="16"/>
      <c r="F16" s="16"/>
      <c r="G16" s="16"/>
      <c r="H16" s="16"/>
      <c r="I16" s="16">
        <v>-500</v>
      </c>
      <c r="J16" s="16"/>
      <c r="K16" s="16" t="s">
        <v>26</v>
      </c>
      <c r="L16" s="18"/>
    </row>
    <row r="17" spans="1:12">
      <c r="A17" s="20">
        <v>45327</v>
      </c>
      <c r="B17" s="27"/>
      <c r="C17" s="27"/>
      <c r="D17" s="27"/>
      <c r="E17" s="27"/>
      <c r="F17" s="27"/>
      <c r="G17" s="27"/>
      <c r="H17" s="27"/>
      <c r="I17" s="16">
        <v>-8000</v>
      </c>
      <c r="J17" s="16"/>
      <c r="K17" s="16" t="s">
        <v>37</v>
      </c>
      <c r="L17" s="18" t="s">
        <v>41</v>
      </c>
    </row>
    <row r="18" spans="1:12">
      <c r="A18" s="20">
        <v>45327</v>
      </c>
      <c r="B18" s="27"/>
      <c r="C18" s="17"/>
      <c r="D18" s="16"/>
      <c r="E18" s="16"/>
      <c r="F18" s="16"/>
      <c r="G18" s="16"/>
      <c r="H18" s="16"/>
      <c r="I18" s="16">
        <v>-2217.16</v>
      </c>
      <c r="J18" s="16"/>
      <c r="K18" s="16" t="s">
        <v>26</v>
      </c>
      <c r="L18" s="18" t="s">
        <v>42</v>
      </c>
    </row>
    <row r="19" spans="1:12">
      <c r="A19" s="20">
        <v>45327</v>
      </c>
      <c r="B19" s="24"/>
      <c r="C19" s="25"/>
      <c r="D19" s="26"/>
      <c r="E19" s="26"/>
      <c r="F19" s="26"/>
      <c r="G19" s="26"/>
      <c r="H19" s="26"/>
      <c r="I19" s="16">
        <v>-1500</v>
      </c>
      <c r="J19" s="16"/>
      <c r="K19" s="16" t="s">
        <v>29</v>
      </c>
      <c r="L19" s="18"/>
    </row>
    <row r="20" spans="1:12">
      <c r="A20" s="20">
        <v>45333</v>
      </c>
      <c r="B20" s="24"/>
      <c r="C20" s="25"/>
      <c r="D20" s="26"/>
      <c r="E20" s="26"/>
      <c r="F20" s="26"/>
      <c r="G20" s="26"/>
      <c r="H20" s="26"/>
      <c r="I20" s="16">
        <v>-2000</v>
      </c>
      <c r="J20" s="16"/>
      <c r="K20" s="16" t="s">
        <v>29</v>
      </c>
      <c r="L20" s="21"/>
    </row>
    <row r="21" spans="1:12">
      <c r="A21" s="20">
        <v>45337</v>
      </c>
      <c r="B21" s="23"/>
      <c r="C21" s="17"/>
      <c r="D21" s="16"/>
      <c r="E21" s="16"/>
      <c r="F21" s="16"/>
      <c r="G21" s="16"/>
      <c r="H21" s="16"/>
      <c r="I21" s="17">
        <v>-2500</v>
      </c>
      <c r="J21" s="16"/>
      <c r="K21" s="16" t="s">
        <v>30</v>
      </c>
      <c r="L21" s="21" t="s">
        <v>31</v>
      </c>
    </row>
    <row r="22" spans="1:12">
      <c r="A22" s="20">
        <v>45343</v>
      </c>
      <c r="B22" s="27"/>
      <c r="C22" s="17"/>
      <c r="D22" s="16"/>
      <c r="E22" s="16"/>
      <c r="F22" s="16"/>
      <c r="G22" s="16"/>
      <c r="H22" s="16"/>
      <c r="I22" s="16">
        <v>-5000</v>
      </c>
      <c r="J22" s="16"/>
      <c r="K22" s="16" t="s">
        <v>30</v>
      </c>
      <c r="L22" s="18" t="s">
        <v>31</v>
      </c>
    </row>
    <row r="23" spans="1:12">
      <c r="A23" s="20">
        <v>45349</v>
      </c>
      <c r="B23" s="24"/>
      <c r="C23" s="25"/>
      <c r="D23" s="26"/>
      <c r="E23" s="26"/>
      <c r="F23" s="26"/>
      <c r="G23" s="26"/>
      <c r="H23" s="26"/>
      <c r="I23" s="16">
        <v>-2000</v>
      </c>
      <c r="J23" s="16"/>
      <c r="K23" s="16" t="s">
        <v>29</v>
      </c>
      <c r="L23" s="18"/>
    </row>
    <row r="24" spans="1:12">
      <c r="A24" s="20">
        <v>45349</v>
      </c>
      <c r="B24" s="27"/>
      <c r="C24" s="17"/>
      <c r="D24" s="16"/>
      <c r="E24" s="16"/>
      <c r="F24" s="16"/>
      <c r="G24" s="16"/>
      <c r="H24" s="16"/>
      <c r="I24" s="16">
        <v>-300</v>
      </c>
      <c r="J24" s="16"/>
      <c r="K24" s="16" t="s">
        <v>26</v>
      </c>
      <c r="L24" s="18" t="s">
        <v>43</v>
      </c>
    </row>
    <row r="25" spans="1:12">
      <c r="A25" s="20">
        <v>45355</v>
      </c>
      <c r="B25" s="24"/>
      <c r="C25" s="26"/>
      <c r="D25" s="26"/>
      <c r="E25" s="26"/>
      <c r="F25" s="26"/>
      <c r="G25" s="26"/>
      <c r="H25" s="26"/>
      <c r="I25" s="16">
        <v>-2000</v>
      </c>
      <c r="J25" s="16"/>
      <c r="K25" s="16" t="s">
        <v>29</v>
      </c>
      <c r="L25" s="18"/>
    </row>
    <row r="26" spans="1:12">
      <c r="A26" s="20">
        <v>45359</v>
      </c>
      <c r="B26" s="24"/>
      <c r="C26" s="26"/>
      <c r="D26" s="26"/>
      <c r="E26" s="26"/>
      <c r="F26" s="26"/>
      <c r="G26" s="26"/>
      <c r="H26" s="26"/>
      <c r="I26" s="16">
        <v>-2000</v>
      </c>
      <c r="J26" s="16"/>
      <c r="K26" s="16" t="s">
        <v>29</v>
      </c>
      <c r="L26" s="18"/>
    </row>
    <row r="27" spans="1:12">
      <c r="A27" s="20">
        <v>45362</v>
      </c>
      <c r="B27" s="27"/>
      <c r="C27" s="16"/>
      <c r="D27" s="16"/>
      <c r="E27" s="16"/>
      <c r="F27" s="16"/>
      <c r="G27" s="16"/>
      <c r="H27" s="16"/>
      <c r="I27" s="16">
        <v>-919.44</v>
      </c>
      <c r="J27" s="16"/>
      <c r="K27" s="16" t="s">
        <v>26</v>
      </c>
      <c r="L27" s="18" t="s">
        <v>44</v>
      </c>
    </row>
    <row r="28" spans="1:12">
      <c r="A28" s="20">
        <v>45363</v>
      </c>
      <c r="B28" s="24"/>
      <c r="C28" s="26"/>
      <c r="D28" s="26"/>
      <c r="E28" s="26"/>
      <c r="F28" s="26"/>
      <c r="G28" s="26"/>
      <c r="H28" s="26"/>
      <c r="I28" s="16">
        <v>-2000</v>
      </c>
      <c r="J28" s="16"/>
      <c r="K28" s="16" t="s">
        <v>29</v>
      </c>
      <c r="L28" s="18"/>
    </row>
    <row r="29" spans="1:12">
      <c r="A29" s="20">
        <v>45366</v>
      </c>
      <c r="B29" s="24"/>
      <c r="C29" s="26"/>
      <c r="D29" s="26"/>
      <c r="E29" s="26"/>
      <c r="F29" s="26"/>
      <c r="G29" s="26"/>
      <c r="H29" s="26"/>
      <c r="I29" s="16">
        <v>-2000</v>
      </c>
      <c r="J29" s="16"/>
      <c r="K29" s="16" t="s">
        <v>29</v>
      </c>
      <c r="L29" s="18"/>
    </row>
    <row r="30" spans="1:12">
      <c r="A30" s="20">
        <v>45369</v>
      </c>
      <c r="B30" s="27"/>
      <c r="C30" s="16"/>
      <c r="D30" s="16"/>
      <c r="E30" s="16"/>
      <c r="F30" s="16"/>
      <c r="G30" s="16"/>
      <c r="H30" s="16"/>
      <c r="I30" s="16">
        <v>-20320</v>
      </c>
      <c r="J30" s="16"/>
      <c r="K30" s="16" t="s">
        <v>30</v>
      </c>
      <c r="L30" s="18" t="s">
        <v>45</v>
      </c>
    </row>
    <row r="31" spans="1:12">
      <c r="A31" s="20">
        <v>45369</v>
      </c>
      <c r="B31" s="27"/>
      <c r="C31" s="16"/>
      <c r="D31" s="16"/>
      <c r="E31" s="16"/>
      <c r="F31" s="16"/>
      <c r="G31" s="16"/>
      <c r="H31" s="16"/>
      <c r="I31" s="16">
        <v>-4830</v>
      </c>
      <c r="J31" s="16"/>
      <c r="K31" s="16" t="s">
        <v>30</v>
      </c>
      <c r="L31" s="18" t="s">
        <v>46</v>
      </c>
    </row>
    <row r="32" spans="1:12">
      <c r="A32" s="20">
        <v>45370</v>
      </c>
      <c r="B32" s="27"/>
      <c r="C32" s="16"/>
      <c r="D32" s="16"/>
      <c r="E32" s="16"/>
      <c r="F32" s="16"/>
      <c r="G32" s="16"/>
      <c r="H32" s="16"/>
      <c r="I32" s="16">
        <v>-5000</v>
      </c>
      <c r="J32" s="16"/>
      <c r="K32" s="16" t="s">
        <v>30</v>
      </c>
      <c r="L32" s="18" t="s">
        <v>31</v>
      </c>
    </row>
    <row r="33" spans="1:12">
      <c r="A33" s="20">
        <v>45370</v>
      </c>
      <c r="B33" s="27"/>
      <c r="C33" s="16"/>
      <c r="D33" s="16"/>
      <c r="E33" s="16"/>
      <c r="F33" s="16"/>
      <c r="G33" s="16"/>
      <c r="H33" s="16"/>
      <c r="I33" s="16">
        <v>-244.27</v>
      </c>
      <c r="J33" s="16"/>
      <c r="K33" s="16" t="s">
        <v>26</v>
      </c>
      <c r="L33" s="18" t="s">
        <v>47</v>
      </c>
    </row>
    <row r="34" spans="1:12">
      <c r="A34" s="20">
        <v>45373</v>
      </c>
      <c r="B34" s="27"/>
      <c r="C34" s="16"/>
      <c r="D34" s="16"/>
      <c r="E34" s="16"/>
      <c r="F34" s="16"/>
      <c r="G34" s="16"/>
      <c r="H34" s="16"/>
      <c r="I34" s="16">
        <v>-200</v>
      </c>
      <c r="J34" s="16"/>
      <c r="K34" s="16" t="s">
        <v>26</v>
      </c>
      <c r="L34" s="18" t="s">
        <v>48</v>
      </c>
    </row>
    <row r="35" spans="1:12">
      <c r="A35" s="20">
        <v>45376</v>
      </c>
      <c r="B35" s="24"/>
      <c r="C35" s="26"/>
      <c r="D35" s="26"/>
      <c r="E35" s="26"/>
      <c r="F35" s="26"/>
      <c r="G35" s="26"/>
      <c r="H35" s="26"/>
      <c r="I35" s="16">
        <v>-2000</v>
      </c>
      <c r="J35" s="16"/>
      <c r="K35" s="16" t="s">
        <v>29</v>
      </c>
      <c r="L35" s="18"/>
    </row>
    <row r="36" spans="1:12">
      <c r="A36" s="20">
        <v>45376</v>
      </c>
      <c r="B36" s="27"/>
      <c r="C36" s="16"/>
      <c r="D36" s="16"/>
      <c r="E36" s="16"/>
      <c r="F36" s="16"/>
      <c r="G36" s="16"/>
      <c r="H36" s="16"/>
      <c r="I36" s="16">
        <v>-1000</v>
      </c>
      <c r="J36" s="16"/>
      <c r="K36" s="16" t="s">
        <v>26</v>
      </c>
      <c r="L36" s="18" t="s">
        <v>49</v>
      </c>
    </row>
    <row r="37" spans="1:12">
      <c r="A37" s="20">
        <v>45383</v>
      </c>
      <c r="B37" s="27"/>
      <c r="C37" s="16"/>
      <c r="D37" s="16"/>
      <c r="E37" s="16"/>
      <c r="F37" s="16"/>
      <c r="G37" s="16"/>
      <c r="H37" s="16"/>
      <c r="I37" s="16">
        <v>-40</v>
      </c>
      <c r="K37" s="16" t="s">
        <v>26</v>
      </c>
      <c r="L37" s="16" t="s">
        <v>50</v>
      </c>
    </row>
    <row r="38" spans="1:12">
      <c r="A38" s="20">
        <v>45383</v>
      </c>
      <c r="B38" s="24"/>
      <c r="C38" s="26"/>
      <c r="D38" s="26"/>
      <c r="E38" s="26"/>
      <c r="F38" s="26"/>
      <c r="G38" s="26"/>
      <c r="H38" s="26"/>
      <c r="I38" s="16">
        <v>-3000</v>
      </c>
      <c r="J38" s="16"/>
      <c r="K38" s="16" t="s">
        <v>29</v>
      </c>
      <c r="L38" s="18"/>
    </row>
    <row r="39" spans="1:12">
      <c r="A39" s="20">
        <v>45385</v>
      </c>
      <c r="B39" s="24"/>
      <c r="C39" s="26"/>
      <c r="D39" s="26"/>
      <c r="E39" s="26"/>
      <c r="F39" s="26"/>
      <c r="G39" s="26"/>
      <c r="H39" s="26"/>
      <c r="I39" s="16">
        <v>-1000</v>
      </c>
      <c r="J39" s="16"/>
      <c r="K39" s="16" t="s">
        <v>29</v>
      </c>
      <c r="L39" s="18"/>
    </row>
    <row r="40" spans="1:12">
      <c r="A40" s="20">
        <v>45385</v>
      </c>
      <c r="B40" s="27"/>
      <c r="C40" s="16"/>
      <c r="D40" s="16"/>
      <c r="E40" s="16"/>
      <c r="F40" s="16"/>
      <c r="G40" s="16"/>
      <c r="H40" s="16"/>
      <c r="I40" s="16">
        <v>-40</v>
      </c>
      <c r="J40" s="16"/>
      <c r="K40" s="16" t="s">
        <v>26</v>
      </c>
      <c r="L40" s="18" t="s">
        <v>51</v>
      </c>
    </row>
    <row r="41" spans="1:12">
      <c r="A41" s="20">
        <v>45389</v>
      </c>
      <c r="B41" s="27"/>
      <c r="C41" s="16"/>
      <c r="D41" s="16"/>
      <c r="E41" s="16"/>
      <c r="F41" s="16"/>
      <c r="G41" s="16"/>
      <c r="H41" s="16"/>
      <c r="I41" s="16">
        <v>-3000</v>
      </c>
      <c r="J41" s="16"/>
      <c r="K41" s="16" t="s">
        <v>29</v>
      </c>
      <c r="L41" s="18"/>
    </row>
    <row r="42" spans="1:12">
      <c r="A42" s="20">
        <v>45389</v>
      </c>
      <c r="B42" s="27"/>
      <c r="C42" s="16"/>
      <c r="D42" s="16"/>
      <c r="E42" s="16"/>
      <c r="F42" s="16"/>
      <c r="G42" s="16"/>
      <c r="H42" s="16"/>
      <c r="I42" s="16">
        <v>-60</v>
      </c>
      <c r="J42" s="16"/>
      <c r="K42" s="16" t="s">
        <v>26</v>
      </c>
      <c r="L42" s="18" t="s">
        <v>51</v>
      </c>
    </row>
    <row r="43" spans="1:12">
      <c r="A43" s="20">
        <v>45390</v>
      </c>
      <c r="B43" s="27"/>
      <c r="C43" s="16"/>
      <c r="D43" s="16"/>
      <c r="E43" s="16"/>
      <c r="F43" s="16"/>
      <c r="G43" s="16"/>
      <c r="H43" s="16"/>
      <c r="I43" s="16">
        <v>-1000</v>
      </c>
      <c r="J43" s="16"/>
      <c r="K43" s="16" t="s">
        <v>29</v>
      </c>
      <c r="L43" s="18"/>
    </row>
    <row r="44" spans="1:12">
      <c r="A44" s="20">
        <v>45390</v>
      </c>
      <c r="B44" s="27"/>
      <c r="C44" s="16"/>
      <c r="D44" s="16"/>
      <c r="E44" s="16"/>
      <c r="F44" s="16"/>
      <c r="G44" s="16"/>
      <c r="H44" s="16"/>
      <c r="I44" s="16">
        <v>-15</v>
      </c>
      <c r="J44" s="16"/>
      <c r="K44" s="16" t="s">
        <v>26</v>
      </c>
      <c r="L44" s="18" t="s">
        <v>51</v>
      </c>
    </row>
    <row r="45" spans="1:12">
      <c r="A45" s="20">
        <v>45390</v>
      </c>
      <c r="B45" s="27"/>
      <c r="C45" s="16"/>
      <c r="D45" s="16"/>
      <c r="E45" s="16"/>
      <c r="F45" s="16"/>
      <c r="G45" s="16"/>
      <c r="H45" s="16"/>
      <c r="I45" s="16">
        <v>-210</v>
      </c>
      <c r="J45" s="16"/>
      <c r="K45" s="16" t="s">
        <v>26</v>
      </c>
      <c r="L45" s="18" t="s">
        <v>52</v>
      </c>
    </row>
    <row r="46" spans="1:12">
      <c r="A46" s="20">
        <v>45391</v>
      </c>
      <c r="B46" s="27"/>
      <c r="C46" s="16"/>
      <c r="D46" s="16"/>
      <c r="E46" s="16"/>
      <c r="F46" s="16"/>
      <c r="G46" s="16"/>
      <c r="H46" s="16"/>
      <c r="I46" s="16">
        <v>-70</v>
      </c>
      <c r="J46" s="16"/>
      <c r="K46" s="16" t="s">
        <v>26</v>
      </c>
      <c r="L46" s="18" t="s">
        <v>53</v>
      </c>
    </row>
    <row r="47" spans="1:12">
      <c r="A47" s="20">
        <v>45391</v>
      </c>
      <c r="B47" s="27"/>
      <c r="C47" s="16"/>
      <c r="D47" s="16"/>
      <c r="E47" s="16"/>
      <c r="F47" s="16"/>
      <c r="G47" s="16"/>
      <c r="H47" s="16"/>
      <c r="I47" s="16">
        <v>-80</v>
      </c>
      <c r="J47" s="16"/>
      <c r="K47" s="16" t="s">
        <v>26</v>
      </c>
      <c r="L47" s="18" t="s">
        <v>54</v>
      </c>
    </row>
    <row r="48" spans="1:12">
      <c r="A48" s="20">
        <v>45392</v>
      </c>
      <c r="B48" s="27"/>
      <c r="C48" s="16"/>
      <c r="D48" s="16"/>
      <c r="E48" s="16"/>
      <c r="F48" s="16"/>
      <c r="G48" s="16"/>
      <c r="H48" s="16"/>
      <c r="I48" s="16">
        <v>-16000</v>
      </c>
      <c r="J48" s="16"/>
      <c r="K48" s="16" t="s">
        <v>26</v>
      </c>
      <c r="L48" s="18" t="s">
        <v>55</v>
      </c>
    </row>
    <row r="49" spans="1:12">
      <c r="A49" s="20">
        <v>45393</v>
      </c>
      <c r="B49" s="27"/>
      <c r="C49" s="16"/>
      <c r="D49" s="16"/>
      <c r="E49" s="16"/>
      <c r="F49" s="16"/>
      <c r="G49" s="16"/>
      <c r="H49" s="16"/>
      <c r="I49" s="16">
        <v>-1000</v>
      </c>
      <c r="J49" s="16"/>
      <c r="K49" s="16" t="s">
        <v>29</v>
      </c>
      <c r="L49" s="18"/>
    </row>
    <row r="50" spans="1:12">
      <c r="A50" s="20">
        <v>45393</v>
      </c>
      <c r="B50" s="27"/>
      <c r="C50" s="16"/>
      <c r="D50" s="16"/>
      <c r="E50" s="16"/>
      <c r="F50" s="16"/>
      <c r="G50" s="16"/>
      <c r="H50" s="16"/>
      <c r="I50" s="16">
        <v>-897</v>
      </c>
      <c r="J50" s="16"/>
      <c r="K50" s="16" t="s">
        <v>26</v>
      </c>
      <c r="L50" s="18" t="s">
        <v>56</v>
      </c>
    </row>
    <row r="51" spans="1:12">
      <c r="A51" s="20">
        <v>45394</v>
      </c>
      <c r="B51" s="27"/>
      <c r="C51" s="16"/>
      <c r="D51" s="16"/>
      <c r="E51" s="16"/>
      <c r="F51" s="16"/>
      <c r="G51" s="16"/>
      <c r="H51" s="16"/>
      <c r="I51" s="16">
        <v>-1000</v>
      </c>
      <c r="J51" s="16"/>
      <c r="K51" s="16" t="s">
        <v>29</v>
      </c>
      <c r="L51" s="18"/>
    </row>
    <row r="52" spans="1:12">
      <c r="A52" s="20">
        <v>45394</v>
      </c>
      <c r="B52" s="27"/>
      <c r="C52" s="16"/>
      <c r="D52" s="16"/>
      <c r="E52" s="16"/>
      <c r="F52" s="16"/>
      <c r="G52" s="16"/>
      <c r="H52" s="16"/>
      <c r="I52" s="16">
        <v>-148</v>
      </c>
      <c r="J52" s="16"/>
      <c r="K52" s="16" t="s">
        <v>26</v>
      </c>
      <c r="L52" s="18" t="s">
        <v>57</v>
      </c>
    </row>
    <row r="53" spans="1:12">
      <c r="A53" s="20">
        <v>45397</v>
      </c>
      <c r="B53" s="27"/>
      <c r="C53" s="16"/>
      <c r="D53" s="16"/>
      <c r="E53" s="16"/>
      <c r="F53" s="16"/>
      <c r="G53" s="16"/>
      <c r="H53" s="16"/>
      <c r="I53" s="16">
        <v>-1000</v>
      </c>
      <c r="J53" s="16"/>
      <c r="K53" s="16" t="s">
        <v>29</v>
      </c>
      <c r="L53" s="18"/>
    </row>
    <row r="54" spans="1:12">
      <c r="A54" s="20">
        <v>45398</v>
      </c>
      <c r="B54" s="27"/>
      <c r="C54" s="16"/>
      <c r="D54" s="16"/>
      <c r="E54" s="16"/>
      <c r="F54" s="16"/>
      <c r="G54" s="16"/>
      <c r="H54" s="16"/>
      <c r="I54" s="16">
        <v>-1520</v>
      </c>
      <c r="J54" s="16"/>
      <c r="K54" s="16" t="s">
        <v>30</v>
      </c>
      <c r="L54" s="18" t="s">
        <v>58</v>
      </c>
    </row>
    <row r="55" spans="1:12">
      <c r="A55" s="20">
        <v>45399</v>
      </c>
      <c r="B55" s="27"/>
      <c r="C55" s="16"/>
      <c r="D55" s="16"/>
      <c r="E55" s="16"/>
      <c r="F55" s="16"/>
      <c r="G55" s="16"/>
      <c r="H55" s="16"/>
      <c r="I55" s="16">
        <v>-2000</v>
      </c>
      <c r="J55" s="16"/>
      <c r="K55" s="16" t="s">
        <v>29</v>
      </c>
      <c r="L55" s="18"/>
    </row>
    <row r="56" spans="1:12">
      <c r="A56" s="20">
        <v>45400</v>
      </c>
      <c r="B56" s="27"/>
      <c r="C56" s="16"/>
      <c r="D56" s="16"/>
      <c r="E56" s="16"/>
      <c r="F56" s="16"/>
      <c r="G56" s="16"/>
      <c r="H56" s="16"/>
      <c r="I56" s="16">
        <v>-23</v>
      </c>
      <c r="J56" s="16"/>
      <c r="K56" s="16" t="s">
        <v>26</v>
      </c>
      <c r="L56" s="18" t="s">
        <v>59</v>
      </c>
    </row>
    <row r="57" spans="1:12">
      <c r="A57" s="20">
        <v>45400</v>
      </c>
      <c r="B57" s="27"/>
      <c r="C57" s="16"/>
      <c r="D57" s="16"/>
      <c r="E57" s="16"/>
      <c r="F57" s="16"/>
      <c r="G57" s="16"/>
      <c r="H57" s="16"/>
      <c r="I57" s="16">
        <v>-1350</v>
      </c>
      <c r="J57" s="16"/>
      <c r="K57" s="16" t="s">
        <v>26</v>
      </c>
      <c r="L57" s="18" t="s">
        <v>60</v>
      </c>
    </row>
    <row r="58" spans="1:12">
      <c r="A58" s="20">
        <v>45401</v>
      </c>
      <c r="B58" s="27"/>
      <c r="C58" s="16"/>
      <c r="D58" s="16"/>
      <c r="E58" s="16"/>
      <c r="F58" s="16"/>
      <c r="G58" s="16"/>
      <c r="H58" s="16"/>
      <c r="I58" s="16">
        <v>-2000</v>
      </c>
      <c r="J58" s="16"/>
      <c r="K58" s="16" t="s">
        <v>29</v>
      </c>
      <c r="L58" s="18"/>
    </row>
    <row r="59" spans="1:12">
      <c r="A59" s="20">
        <v>45401</v>
      </c>
      <c r="B59" s="27"/>
      <c r="C59" s="16"/>
      <c r="D59" s="16"/>
      <c r="E59" s="16"/>
      <c r="F59" s="16"/>
      <c r="G59" s="16"/>
      <c r="H59" s="16"/>
      <c r="I59" s="16">
        <v>-97320</v>
      </c>
      <c r="J59" s="16"/>
      <c r="K59" s="16" t="s">
        <v>37</v>
      </c>
      <c r="L59" s="18" t="s">
        <v>61</v>
      </c>
    </row>
    <row r="60" spans="1:12">
      <c r="A60" s="20">
        <v>45401</v>
      </c>
      <c r="B60" s="27"/>
      <c r="C60" s="16"/>
      <c r="D60" s="16"/>
      <c r="E60" s="16"/>
      <c r="F60" s="16"/>
      <c r="G60" s="16"/>
      <c r="H60" s="16"/>
      <c r="I60" s="16">
        <v>-5000</v>
      </c>
      <c r="J60" s="16"/>
      <c r="K60" s="16" t="s">
        <v>30</v>
      </c>
      <c r="L60" s="18"/>
    </row>
    <row r="61" spans="1:12">
      <c r="A61" s="20">
        <v>45406</v>
      </c>
      <c r="B61" s="27"/>
      <c r="C61" s="16"/>
      <c r="D61" s="16"/>
      <c r="E61" s="16"/>
      <c r="F61" s="16"/>
      <c r="G61" s="16"/>
      <c r="H61" s="16"/>
      <c r="I61" s="16">
        <v>-1000</v>
      </c>
      <c r="J61" s="16"/>
      <c r="K61" s="16" t="s">
        <v>29</v>
      </c>
      <c r="L61" s="18"/>
    </row>
    <row r="62" spans="1:12">
      <c r="A62" s="20">
        <v>45409</v>
      </c>
      <c r="B62" s="27"/>
      <c r="C62" s="16"/>
      <c r="D62" s="16"/>
      <c r="E62" s="16"/>
      <c r="F62" s="16"/>
      <c r="G62" s="16"/>
      <c r="H62" s="16"/>
      <c r="I62" s="16">
        <v>-1549.68</v>
      </c>
      <c r="J62" s="16"/>
      <c r="K62" s="16" t="s">
        <v>26</v>
      </c>
      <c r="L62" s="18" t="s">
        <v>62</v>
      </c>
    </row>
    <row r="63" spans="1:12">
      <c r="A63" s="20">
        <v>45410</v>
      </c>
      <c r="B63" s="27"/>
      <c r="C63" s="16"/>
      <c r="D63" s="16"/>
      <c r="E63" s="16"/>
      <c r="F63" s="16"/>
      <c r="G63" s="16"/>
      <c r="H63" s="16"/>
      <c r="I63" s="16">
        <v>-1000</v>
      </c>
      <c r="J63" s="16"/>
      <c r="K63" s="16" t="s">
        <v>29</v>
      </c>
      <c r="L63" s="18"/>
    </row>
    <row r="64" spans="1:12">
      <c r="A64" s="20">
        <v>45410</v>
      </c>
      <c r="B64" s="27"/>
      <c r="C64" s="16"/>
      <c r="D64" s="16"/>
      <c r="E64" s="16"/>
      <c r="F64" s="16"/>
      <c r="G64" s="16"/>
      <c r="H64" s="16"/>
      <c r="I64" s="16">
        <v>-119.3</v>
      </c>
      <c r="J64" s="16"/>
      <c r="K64" s="16" t="s">
        <v>26</v>
      </c>
      <c r="L64" s="18" t="s">
        <v>63</v>
      </c>
    </row>
    <row r="65" spans="1:12">
      <c r="A65" s="20">
        <v>45410</v>
      </c>
      <c r="B65" s="27"/>
      <c r="C65" s="16"/>
      <c r="D65" s="16"/>
      <c r="E65" s="16"/>
      <c r="F65" s="16"/>
      <c r="G65" s="16"/>
      <c r="H65" s="16"/>
      <c r="I65" s="16">
        <v>-31.6</v>
      </c>
      <c r="J65" s="16"/>
      <c r="K65" s="16" t="s">
        <v>26</v>
      </c>
      <c r="L65" s="18" t="s">
        <v>64</v>
      </c>
    </row>
    <row r="66" spans="1:12">
      <c r="A66" s="20">
        <v>45411</v>
      </c>
      <c r="B66" s="27"/>
      <c r="C66" s="16"/>
      <c r="D66" s="16"/>
      <c r="E66" s="16"/>
      <c r="F66" s="16"/>
      <c r="G66" s="16"/>
      <c r="H66" s="16"/>
      <c r="I66" s="16">
        <v>-200</v>
      </c>
      <c r="J66" s="16"/>
      <c r="K66" s="16" t="s">
        <v>26</v>
      </c>
      <c r="L66" s="18" t="s">
        <v>65</v>
      </c>
    </row>
    <row r="67" spans="1:12">
      <c r="A67" s="20">
        <v>45411</v>
      </c>
      <c r="B67" s="27"/>
      <c r="C67" s="16"/>
      <c r="D67" s="16"/>
      <c r="E67" s="16"/>
      <c r="F67" s="16"/>
      <c r="G67" s="16"/>
      <c r="H67" s="16"/>
      <c r="I67" s="16">
        <v>-40</v>
      </c>
      <c r="J67" s="16"/>
      <c r="K67" s="16" t="s">
        <v>26</v>
      </c>
      <c r="L67" s="18" t="s">
        <v>51</v>
      </c>
    </row>
    <row r="68" spans="1:12">
      <c r="A68" s="20">
        <v>45411</v>
      </c>
      <c r="B68" s="27"/>
      <c r="C68" s="16"/>
      <c r="D68" s="16"/>
      <c r="E68" s="16"/>
      <c r="F68" s="16"/>
      <c r="G68" s="16"/>
      <c r="H68" s="16"/>
      <c r="I68" s="16">
        <v>-5344.8</v>
      </c>
      <c r="J68" s="16"/>
      <c r="K68" s="16" t="s">
        <v>26</v>
      </c>
      <c r="L68" s="18" t="s">
        <v>66</v>
      </c>
    </row>
    <row r="69" spans="1:12">
      <c r="A69" s="20">
        <v>45411</v>
      </c>
      <c r="B69" s="27"/>
      <c r="C69" s="16"/>
      <c r="D69" s="16"/>
      <c r="E69" s="16"/>
      <c r="F69" s="16"/>
      <c r="G69" s="16"/>
      <c r="H69" s="16"/>
      <c r="I69" s="16">
        <v>-2000</v>
      </c>
      <c r="J69" s="16"/>
      <c r="K69" s="16" t="s">
        <v>29</v>
      </c>
      <c r="L69" s="18"/>
    </row>
    <row r="70" spans="1:12">
      <c r="A70" s="20">
        <v>45418</v>
      </c>
      <c r="B70" s="27"/>
      <c r="C70" s="16"/>
      <c r="D70" s="16"/>
      <c r="E70" s="16"/>
      <c r="F70" s="16"/>
      <c r="G70" s="16"/>
      <c r="H70" s="16"/>
      <c r="I70" s="16">
        <v>-45000</v>
      </c>
      <c r="J70" s="16"/>
      <c r="K70" s="16" t="s">
        <v>26</v>
      </c>
      <c r="L70" s="21" t="s">
        <v>67</v>
      </c>
    </row>
    <row r="71" spans="1:12">
      <c r="A71" s="20">
        <v>45418</v>
      </c>
      <c r="B71" s="27"/>
      <c r="C71" s="16"/>
      <c r="D71" s="16"/>
      <c r="E71" s="16"/>
      <c r="F71" s="16"/>
      <c r="G71" s="16"/>
      <c r="H71" s="16"/>
      <c r="I71" s="16">
        <v>-300</v>
      </c>
      <c r="J71" s="16"/>
      <c r="K71" s="16" t="s">
        <v>26</v>
      </c>
      <c r="L71" s="21" t="s">
        <v>68</v>
      </c>
    </row>
    <row r="72" spans="1:12">
      <c r="A72" s="20">
        <v>45418</v>
      </c>
      <c r="B72" s="27"/>
      <c r="C72" s="16"/>
      <c r="D72" s="16"/>
      <c r="E72" s="16"/>
      <c r="F72" s="16"/>
      <c r="G72" s="16"/>
      <c r="H72" s="16"/>
      <c r="I72" s="16">
        <v>-2000</v>
      </c>
      <c r="J72" s="16"/>
      <c r="K72" s="16" t="s">
        <v>29</v>
      </c>
      <c r="L72" s="21"/>
    </row>
    <row r="73" spans="1:12">
      <c r="A73" s="20">
        <v>45418</v>
      </c>
      <c r="B73" s="27"/>
      <c r="C73" s="16"/>
      <c r="D73" s="16"/>
      <c r="E73" s="16"/>
      <c r="F73" s="16"/>
      <c r="G73" s="16"/>
      <c r="H73" s="16"/>
      <c r="I73" s="16">
        <v>-149.9</v>
      </c>
      <c r="J73" s="16"/>
      <c r="K73" s="16" t="s">
        <v>26</v>
      </c>
      <c r="L73" s="21" t="s">
        <v>69</v>
      </c>
    </row>
    <row r="74" spans="1:12">
      <c r="A74" s="20">
        <v>45418</v>
      </c>
      <c r="B74" s="27"/>
      <c r="C74" s="16"/>
      <c r="D74" s="16"/>
      <c r="E74" s="16"/>
      <c r="F74" s="16"/>
      <c r="G74" s="16"/>
      <c r="H74" s="16"/>
      <c r="I74" s="16">
        <v>-164</v>
      </c>
      <c r="J74" s="16"/>
      <c r="K74" s="16" t="s">
        <v>26</v>
      </c>
      <c r="L74" s="21" t="s">
        <v>70</v>
      </c>
    </row>
    <row r="75" spans="1:12">
      <c r="A75" s="20">
        <v>45418</v>
      </c>
      <c r="B75" s="27"/>
      <c r="C75" s="16"/>
      <c r="D75" s="16"/>
      <c r="E75" s="16"/>
      <c r="F75" s="16"/>
      <c r="G75" s="16"/>
      <c r="H75" s="16"/>
      <c r="I75" s="16">
        <v>-1000</v>
      </c>
      <c r="J75" s="16"/>
      <c r="K75" s="16" t="s">
        <v>26</v>
      </c>
      <c r="L75" s="21" t="s">
        <v>71</v>
      </c>
    </row>
    <row r="76" spans="1:12">
      <c r="A76" s="20">
        <v>45418</v>
      </c>
      <c r="B76" s="27"/>
      <c r="C76" s="16"/>
      <c r="D76" s="16"/>
      <c r="E76" s="16"/>
      <c r="F76" s="16"/>
      <c r="G76" s="16"/>
      <c r="H76" s="16"/>
      <c r="I76" s="16">
        <v>-14382</v>
      </c>
      <c r="J76" s="16"/>
      <c r="K76" s="16" t="s">
        <v>30</v>
      </c>
      <c r="L76" s="21" t="s">
        <v>72</v>
      </c>
    </row>
    <row r="77" spans="1:12">
      <c r="A77" s="20">
        <v>45418</v>
      </c>
      <c r="B77" s="27"/>
      <c r="C77" s="16"/>
      <c r="D77" s="16"/>
      <c r="E77" s="16"/>
      <c r="F77" s="16"/>
      <c r="G77" s="16"/>
      <c r="H77" s="16"/>
      <c r="I77" s="16">
        <v>-2000</v>
      </c>
      <c r="J77" s="16"/>
      <c r="K77" s="16" t="s">
        <v>29</v>
      </c>
      <c r="L77" s="18"/>
    </row>
    <row r="78" spans="1:12">
      <c r="A78" s="20">
        <v>45418</v>
      </c>
      <c r="B78" s="27"/>
      <c r="C78" s="16"/>
      <c r="D78" s="16"/>
      <c r="E78" s="16"/>
      <c r="F78" s="16"/>
      <c r="G78" s="16"/>
      <c r="H78" s="16"/>
      <c r="I78" s="16">
        <v>-602</v>
      </c>
      <c r="J78" s="16"/>
      <c r="K78" s="16" t="s">
        <v>26</v>
      </c>
      <c r="L78" s="18" t="s">
        <v>73</v>
      </c>
    </row>
    <row r="79" spans="1:12">
      <c r="A79" s="20">
        <v>45418</v>
      </c>
      <c r="B79" s="27"/>
      <c r="C79" s="16"/>
      <c r="D79" s="16"/>
      <c r="E79" s="16"/>
      <c r="F79" s="16"/>
      <c r="G79" s="16"/>
      <c r="H79" s="16"/>
      <c r="I79" s="16">
        <v>-400</v>
      </c>
      <c r="J79" s="16"/>
      <c r="K79" s="16" t="s">
        <v>26</v>
      </c>
      <c r="L79" s="18" t="s">
        <v>74</v>
      </c>
    </row>
    <row r="80" spans="1:12">
      <c r="A80" s="20">
        <v>45418</v>
      </c>
      <c r="B80" s="27"/>
      <c r="C80" s="16"/>
      <c r="D80" s="16"/>
      <c r="E80" s="16"/>
      <c r="F80" s="16"/>
      <c r="G80" s="16"/>
      <c r="H80" s="16"/>
      <c r="I80" s="16">
        <v>-618</v>
      </c>
      <c r="J80" s="16"/>
      <c r="K80" s="16" t="s">
        <v>26</v>
      </c>
      <c r="L80" s="18" t="s">
        <v>75</v>
      </c>
    </row>
    <row r="81" spans="1:13">
      <c r="A81" s="20">
        <v>45418</v>
      </c>
      <c r="B81" s="27"/>
      <c r="C81" s="16"/>
      <c r="D81" s="16"/>
      <c r="E81" s="16"/>
      <c r="F81" s="16"/>
      <c r="G81" s="16"/>
      <c r="H81" s="16"/>
      <c r="I81" s="16">
        <v>-40</v>
      </c>
      <c r="J81" s="16"/>
      <c r="K81" s="16" t="s">
        <v>26</v>
      </c>
      <c r="L81" s="18" t="s">
        <v>76</v>
      </c>
    </row>
    <row r="82" spans="1:13">
      <c r="A82" s="20">
        <v>45420</v>
      </c>
      <c r="B82" s="27"/>
      <c r="C82" s="16"/>
      <c r="D82" s="16"/>
      <c r="E82" s="16"/>
      <c r="F82" s="16"/>
      <c r="G82" s="16"/>
      <c r="H82" s="16"/>
      <c r="I82" s="16">
        <v>-307.89999999999998</v>
      </c>
      <c r="J82" s="16"/>
      <c r="K82" s="16" t="s">
        <v>26</v>
      </c>
      <c r="L82" t="s">
        <v>77</v>
      </c>
    </row>
    <row r="83" spans="1:13">
      <c r="A83" s="20">
        <v>45420</v>
      </c>
      <c r="B83" s="27"/>
      <c r="C83" s="16"/>
      <c r="D83" s="16"/>
      <c r="E83" s="16"/>
      <c r="F83" s="16"/>
      <c r="G83" s="16"/>
      <c r="H83" s="16"/>
      <c r="I83" s="16">
        <v>-69.08</v>
      </c>
      <c r="J83" s="16"/>
      <c r="K83" s="16" t="s">
        <v>26</v>
      </c>
      <c r="L83" s="18" t="s">
        <v>78</v>
      </c>
    </row>
    <row r="84" spans="1:13">
      <c r="A84" s="20">
        <v>45422</v>
      </c>
      <c r="B84" s="27"/>
      <c r="C84" s="16"/>
      <c r="D84" s="16"/>
      <c r="E84" s="16"/>
      <c r="F84" s="16"/>
      <c r="G84" s="17"/>
      <c r="H84" s="16"/>
      <c r="I84" s="16">
        <v>-3281</v>
      </c>
      <c r="J84" s="16"/>
      <c r="K84" s="16" t="s">
        <v>26</v>
      </c>
      <c r="L84" s="18" t="s">
        <v>79</v>
      </c>
    </row>
    <row r="85" spans="1:13">
      <c r="A85" s="20">
        <v>45423</v>
      </c>
      <c r="B85" s="27"/>
      <c r="C85" s="16"/>
      <c r="D85" s="16"/>
      <c r="E85" s="16"/>
      <c r="F85" s="16"/>
      <c r="G85" s="16"/>
      <c r="H85" s="16"/>
      <c r="I85" s="16">
        <v>-2000</v>
      </c>
      <c r="J85" s="16"/>
      <c r="K85" s="16" t="s">
        <v>29</v>
      </c>
      <c r="L85" s="22"/>
    </row>
    <row r="86" spans="1:13">
      <c r="A86" s="20">
        <v>45425</v>
      </c>
      <c r="B86" s="27"/>
      <c r="C86" s="16"/>
      <c r="D86" s="16"/>
      <c r="E86" s="16"/>
      <c r="F86" s="16"/>
      <c r="G86" s="16"/>
      <c r="H86" s="16"/>
      <c r="I86" s="16">
        <v>-25584</v>
      </c>
      <c r="J86" s="16"/>
      <c r="K86" s="16" t="s">
        <v>26</v>
      </c>
      <c r="L86" s="18" t="s">
        <v>80</v>
      </c>
    </row>
    <row r="87" spans="1:13">
      <c r="A87" s="20">
        <v>45425</v>
      </c>
      <c r="B87" s="27"/>
      <c r="C87" s="16"/>
      <c r="D87" s="16"/>
      <c r="E87" s="16"/>
      <c r="F87" s="16"/>
      <c r="G87" s="16"/>
      <c r="H87" s="16"/>
      <c r="I87" s="16">
        <v>-30</v>
      </c>
      <c r="J87" s="16"/>
      <c r="K87" s="16" t="s">
        <v>26</v>
      </c>
      <c r="L87" s="21" t="s">
        <v>81</v>
      </c>
    </row>
    <row r="88" spans="1:13">
      <c r="A88" s="20">
        <v>45426</v>
      </c>
      <c r="B88" s="27"/>
      <c r="C88" s="16"/>
      <c r="D88" s="16"/>
      <c r="E88" s="16"/>
      <c r="F88" s="16"/>
      <c r="G88" s="16"/>
      <c r="H88" s="16"/>
      <c r="I88" s="16">
        <v>-2000</v>
      </c>
      <c r="J88" s="16"/>
      <c r="K88" s="16" t="s">
        <v>29</v>
      </c>
      <c r="L88" s="22"/>
    </row>
    <row r="89" spans="1:13">
      <c r="A89" s="20">
        <v>45427</v>
      </c>
      <c r="B89" s="27"/>
      <c r="C89" s="16"/>
      <c r="D89" s="16"/>
      <c r="E89" s="16"/>
      <c r="F89" s="16"/>
      <c r="G89" s="16"/>
      <c r="H89" s="16"/>
      <c r="I89" s="16">
        <v>-30000</v>
      </c>
      <c r="J89" s="16"/>
      <c r="K89" s="16" t="s">
        <v>26</v>
      </c>
      <c r="L89" s="18" t="s">
        <v>82</v>
      </c>
      <c r="M89" s="16"/>
    </row>
    <row r="90" spans="1:13">
      <c r="A90" s="20">
        <v>45431</v>
      </c>
      <c r="B90" s="27"/>
      <c r="C90" s="16"/>
      <c r="D90" s="16"/>
      <c r="E90" s="16"/>
      <c r="F90" s="16"/>
      <c r="G90" s="16"/>
      <c r="H90" s="16"/>
      <c r="I90" s="16">
        <v>-1456</v>
      </c>
      <c r="J90" s="16"/>
      <c r="K90" s="16" t="s">
        <v>26</v>
      </c>
      <c r="L90" s="18" t="s">
        <v>83</v>
      </c>
      <c r="M90" s="16"/>
    </row>
    <row r="91" spans="1:13">
      <c r="A91" s="20">
        <v>45431</v>
      </c>
      <c r="B91" s="27"/>
      <c r="C91" s="16"/>
      <c r="D91" s="16"/>
      <c r="E91" s="16"/>
      <c r="F91" s="16"/>
      <c r="G91" s="16"/>
      <c r="H91" s="16"/>
      <c r="I91" s="16">
        <v>-2600</v>
      </c>
      <c r="J91" s="16"/>
      <c r="K91" s="16" t="s">
        <v>26</v>
      </c>
      <c r="L91" s="18" t="s">
        <v>84</v>
      </c>
      <c r="M91" s="16"/>
    </row>
    <row r="92" spans="1:13">
      <c r="A92" s="20">
        <v>45431</v>
      </c>
      <c r="B92" s="27"/>
      <c r="C92" s="16"/>
      <c r="D92" s="16"/>
      <c r="E92" s="16"/>
      <c r="F92" s="16"/>
      <c r="G92" s="16"/>
      <c r="H92" s="16"/>
      <c r="I92" s="16">
        <v>-64</v>
      </c>
      <c r="J92" s="16"/>
      <c r="K92" s="16" t="s">
        <v>26</v>
      </c>
      <c r="L92" s="18" t="s">
        <v>85</v>
      </c>
      <c r="M92" s="16"/>
    </row>
    <row r="93" spans="1:13">
      <c r="A93" s="20">
        <v>45432</v>
      </c>
      <c r="B93" s="27"/>
      <c r="C93" s="16"/>
      <c r="D93" s="16"/>
      <c r="E93" s="16"/>
      <c r="F93" s="16"/>
      <c r="G93" s="16"/>
      <c r="H93" s="16"/>
      <c r="I93" s="16">
        <v>-101740</v>
      </c>
      <c r="J93" s="16"/>
      <c r="K93" s="16" t="s">
        <v>37</v>
      </c>
      <c r="L93" s="18" t="s">
        <v>86</v>
      </c>
      <c r="M93" s="16"/>
    </row>
    <row r="94" spans="1:13">
      <c r="A94" s="20">
        <v>45432</v>
      </c>
      <c r="B94" s="27"/>
      <c r="C94" s="16"/>
      <c r="D94" s="16"/>
      <c r="E94" s="16"/>
      <c r="F94" s="16"/>
      <c r="G94" s="16"/>
      <c r="H94" s="16"/>
      <c r="I94" s="16">
        <v>-2000</v>
      </c>
      <c r="J94" s="16"/>
      <c r="K94" s="16" t="s">
        <v>37</v>
      </c>
      <c r="L94" s="18" t="s">
        <v>87</v>
      </c>
      <c r="M94" s="16"/>
    </row>
    <row r="95" spans="1:13">
      <c r="A95" s="20">
        <v>45432</v>
      </c>
      <c r="B95" s="27"/>
      <c r="C95" s="16"/>
      <c r="D95" s="16"/>
      <c r="E95" s="16"/>
      <c r="F95" s="16"/>
      <c r="G95" s="16"/>
      <c r="H95" s="16"/>
      <c r="I95" s="16">
        <v>-5000</v>
      </c>
      <c r="J95" s="16"/>
      <c r="K95" s="16" t="s">
        <v>30</v>
      </c>
      <c r="L95" s="18" t="s">
        <v>31</v>
      </c>
      <c r="M95" s="16"/>
    </row>
    <row r="96" spans="1:13">
      <c r="A96" s="20">
        <v>45432</v>
      </c>
      <c r="B96" s="27"/>
      <c r="C96" s="16"/>
      <c r="D96" s="16"/>
      <c r="E96" s="16"/>
      <c r="F96" s="16"/>
      <c r="G96" s="16"/>
      <c r="H96" s="16"/>
      <c r="I96" s="16">
        <v>-12000</v>
      </c>
      <c r="J96" s="16"/>
      <c r="K96" s="16" t="s">
        <v>30</v>
      </c>
      <c r="L96" s="18" t="s">
        <v>88</v>
      </c>
      <c r="M96" s="16"/>
    </row>
    <row r="97" spans="1:13">
      <c r="A97" s="20">
        <v>45434</v>
      </c>
      <c r="B97" s="27"/>
      <c r="C97" s="16"/>
      <c r="D97" s="16"/>
      <c r="E97" s="16"/>
      <c r="F97" s="16"/>
      <c r="G97" s="16"/>
      <c r="H97" s="16"/>
      <c r="I97" s="16">
        <v>-2000</v>
      </c>
      <c r="J97" s="16"/>
      <c r="K97" s="16" t="s">
        <v>29</v>
      </c>
      <c r="L97" s="18"/>
      <c r="M97" s="16"/>
    </row>
    <row r="98" spans="1:13">
      <c r="A98" s="20">
        <v>45434</v>
      </c>
      <c r="B98" s="27"/>
      <c r="C98" s="16"/>
      <c r="D98" s="16"/>
      <c r="E98" s="16"/>
      <c r="F98" s="16"/>
      <c r="G98" s="16"/>
      <c r="H98" s="16"/>
      <c r="I98" s="16">
        <v>-26</v>
      </c>
      <c r="J98" s="16"/>
      <c r="K98" s="16" t="s">
        <v>26</v>
      </c>
      <c r="L98" s="18" t="s">
        <v>89</v>
      </c>
      <c r="M98" s="16"/>
    </row>
    <row r="99" spans="1:13">
      <c r="A99" s="20">
        <v>45434</v>
      </c>
      <c r="B99" s="27"/>
      <c r="C99" s="16"/>
      <c r="D99" s="16"/>
      <c r="E99" s="16"/>
      <c r="F99" s="16"/>
      <c r="G99" s="16"/>
      <c r="H99" s="16"/>
      <c r="I99" s="16">
        <v>-49</v>
      </c>
      <c r="J99" s="16"/>
      <c r="K99" s="16" t="s">
        <v>26</v>
      </c>
      <c r="L99" s="18" t="s">
        <v>90</v>
      </c>
      <c r="M99" s="16"/>
    </row>
    <row r="100" spans="1:13">
      <c r="A100" s="20">
        <v>45435</v>
      </c>
      <c r="B100" s="27"/>
      <c r="C100" s="16"/>
      <c r="D100" s="16"/>
      <c r="E100" s="16"/>
      <c r="F100" s="16"/>
      <c r="G100" s="16"/>
      <c r="H100" s="16"/>
      <c r="I100" s="16">
        <v>-463</v>
      </c>
      <c r="J100" s="16"/>
      <c r="K100" s="16" t="s">
        <v>26</v>
      </c>
      <c r="L100" s="18" t="s">
        <v>91</v>
      </c>
      <c r="M100" s="16"/>
    </row>
    <row r="101" spans="1:13">
      <c r="A101" s="20">
        <v>45439</v>
      </c>
      <c r="B101" s="27"/>
      <c r="C101" s="16"/>
      <c r="D101" s="16"/>
      <c r="E101" s="16"/>
      <c r="F101" s="16"/>
      <c r="G101" s="16"/>
      <c r="H101" s="16"/>
      <c r="I101" s="16">
        <v>-1979.84</v>
      </c>
      <c r="J101" s="16"/>
      <c r="K101" s="16" t="s">
        <v>26</v>
      </c>
      <c r="L101" s="18" t="s">
        <v>92</v>
      </c>
      <c r="M101" s="16"/>
    </row>
    <row r="102" spans="1:13">
      <c r="A102" s="20">
        <v>45439</v>
      </c>
      <c r="B102" s="27"/>
      <c r="C102" s="16"/>
      <c r="D102" s="16"/>
      <c r="E102" s="16"/>
      <c r="F102" s="16"/>
      <c r="G102" s="16"/>
      <c r="H102" s="16"/>
      <c r="I102" s="16">
        <v>-5000</v>
      </c>
      <c r="J102" s="16"/>
      <c r="K102" s="16" t="s">
        <v>26</v>
      </c>
      <c r="L102" s="18" t="s">
        <v>93</v>
      </c>
      <c r="M102" s="16"/>
    </row>
    <row r="103" spans="1:13">
      <c r="A103" s="20">
        <v>45439</v>
      </c>
      <c r="B103" s="27"/>
      <c r="C103" s="16"/>
      <c r="D103" s="16"/>
      <c r="E103" s="16"/>
      <c r="F103" s="16"/>
      <c r="G103" s="16"/>
      <c r="H103" s="16"/>
      <c r="I103" s="16">
        <v>-10000</v>
      </c>
      <c r="J103" s="16"/>
      <c r="K103" s="16" t="s">
        <v>26</v>
      </c>
      <c r="L103" s="18" t="s">
        <v>94</v>
      </c>
      <c r="M103" s="16"/>
    </row>
    <row r="104" spans="1:13">
      <c r="A104" s="20">
        <v>45439</v>
      </c>
      <c r="B104" s="27"/>
      <c r="C104" s="16"/>
      <c r="D104" s="16"/>
      <c r="E104" s="16"/>
      <c r="F104" s="16"/>
      <c r="G104" s="16"/>
      <c r="H104" s="16"/>
      <c r="I104" s="16">
        <v>-2400</v>
      </c>
      <c r="J104" s="16"/>
      <c r="K104" s="16" t="s">
        <v>26</v>
      </c>
      <c r="L104" s="18" t="s">
        <v>95</v>
      </c>
      <c r="M104" s="16"/>
    </row>
    <row r="105" spans="1:13">
      <c r="A105" s="20">
        <v>45440</v>
      </c>
      <c r="B105" s="27"/>
      <c r="C105" s="16"/>
      <c r="D105" s="16"/>
      <c r="E105" s="16"/>
      <c r="F105" s="16"/>
      <c r="G105" s="16"/>
      <c r="H105" s="16"/>
      <c r="I105" s="16">
        <v>-762</v>
      </c>
      <c r="J105" s="16"/>
      <c r="K105" s="16" t="s">
        <v>26</v>
      </c>
      <c r="L105" s="18" t="s">
        <v>96</v>
      </c>
      <c r="M105" s="16"/>
    </row>
    <row r="106" spans="1:13">
      <c r="A106" s="20">
        <v>45440</v>
      </c>
      <c r="B106" s="27"/>
      <c r="C106" s="16"/>
      <c r="D106" s="16"/>
      <c r="E106" s="16"/>
      <c r="F106" s="16"/>
      <c r="G106" s="16"/>
      <c r="H106" s="16"/>
      <c r="I106" s="16">
        <v>-1665</v>
      </c>
      <c r="J106" s="16"/>
      <c r="K106" s="16" t="s">
        <v>26</v>
      </c>
      <c r="L106" s="18" t="s">
        <v>97</v>
      </c>
      <c r="M106" s="16"/>
    </row>
    <row r="107" spans="1:13">
      <c r="A107" s="20">
        <v>45441</v>
      </c>
      <c r="B107" s="27"/>
      <c r="C107" s="16"/>
      <c r="D107" s="16"/>
      <c r="E107" s="16"/>
      <c r="F107" s="16"/>
      <c r="G107" s="16"/>
      <c r="H107" s="16"/>
      <c r="I107" s="16">
        <v>-3000</v>
      </c>
      <c r="J107" s="16"/>
      <c r="K107" s="16" t="s">
        <v>29</v>
      </c>
      <c r="L107" s="18" t="s">
        <v>98</v>
      </c>
      <c r="M107" s="16"/>
    </row>
    <row r="108" spans="1:13">
      <c r="A108" s="20">
        <v>45441</v>
      </c>
      <c r="B108" s="27"/>
      <c r="C108" s="16"/>
      <c r="D108" s="16"/>
      <c r="E108" s="16"/>
      <c r="F108" s="16"/>
      <c r="G108" s="16"/>
      <c r="H108" s="16"/>
      <c r="I108" s="16">
        <v>-2000</v>
      </c>
      <c r="J108" s="16"/>
      <c r="K108" s="16" t="s">
        <v>29</v>
      </c>
      <c r="L108" s="18" t="s">
        <v>99</v>
      </c>
      <c r="M108" s="16"/>
    </row>
    <row r="109" spans="1:13">
      <c r="A109" s="20">
        <v>45441</v>
      </c>
      <c r="B109" s="27"/>
      <c r="C109" s="16"/>
      <c r="D109" s="16"/>
      <c r="E109" s="16"/>
      <c r="F109" s="16"/>
      <c r="G109" s="16"/>
      <c r="H109" s="16"/>
      <c r="I109" s="16">
        <v>-615.79999999999995</v>
      </c>
      <c r="J109" s="16"/>
      <c r="K109" s="16" t="s">
        <v>26</v>
      </c>
      <c r="L109" s="18" t="s">
        <v>100</v>
      </c>
      <c r="M109" s="16"/>
    </row>
    <row r="110" spans="1:13">
      <c r="A110" s="20">
        <v>45444</v>
      </c>
      <c r="B110" s="27"/>
      <c r="C110" s="16"/>
      <c r="D110" s="16"/>
      <c r="E110" s="16"/>
      <c r="F110" s="16"/>
      <c r="G110" s="16"/>
      <c r="H110" s="16"/>
      <c r="I110" s="16">
        <v>-200</v>
      </c>
      <c r="J110" s="16"/>
      <c r="K110" s="16" t="s">
        <v>30</v>
      </c>
      <c r="L110" s="18" t="s">
        <v>101</v>
      </c>
      <c r="M110" s="16"/>
    </row>
    <row r="111" spans="1:13">
      <c r="A111" s="20">
        <v>45444</v>
      </c>
      <c r="B111" s="27"/>
      <c r="C111" s="16"/>
      <c r="D111" s="16"/>
      <c r="E111" s="16"/>
      <c r="F111" s="16"/>
      <c r="G111" s="16"/>
      <c r="H111" s="16"/>
      <c r="I111" s="16">
        <v>-179.64</v>
      </c>
      <c r="J111" s="16"/>
      <c r="K111" s="16" t="s">
        <v>26</v>
      </c>
      <c r="L111" s="18" t="s">
        <v>102</v>
      </c>
      <c r="M111" s="16"/>
    </row>
    <row r="112" spans="1:13">
      <c r="A112" s="20">
        <v>45446</v>
      </c>
      <c r="B112" s="27"/>
      <c r="C112" s="16"/>
      <c r="D112" s="16"/>
      <c r="E112" s="16"/>
      <c r="F112" s="16"/>
      <c r="G112" s="16"/>
      <c r="H112" s="16"/>
      <c r="I112" s="16">
        <v>-6000</v>
      </c>
      <c r="J112" s="16"/>
      <c r="K112" s="16" t="s">
        <v>29</v>
      </c>
      <c r="L112" s="18" t="s">
        <v>103</v>
      </c>
      <c r="M112" s="16"/>
    </row>
    <row r="113" spans="1:13">
      <c r="A113" s="20">
        <v>45446</v>
      </c>
      <c r="B113" s="27"/>
      <c r="C113" s="16"/>
      <c r="D113" s="16"/>
      <c r="E113" s="16"/>
      <c r="F113" s="16"/>
      <c r="G113" s="16"/>
      <c r="H113" s="16"/>
      <c r="I113" s="16">
        <v>-1000</v>
      </c>
      <c r="J113" s="16"/>
      <c r="K113" s="16" t="s">
        <v>26</v>
      </c>
      <c r="L113" s="18" t="s">
        <v>104</v>
      </c>
      <c r="M113" s="16"/>
    </row>
    <row r="114" spans="1:13">
      <c r="A114" s="20">
        <v>45447</v>
      </c>
      <c r="B114" s="27"/>
      <c r="C114" s="16"/>
      <c r="D114" s="16"/>
      <c r="E114" s="16"/>
      <c r="F114" s="16"/>
      <c r="G114" s="16"/>
      <c r="H114" s="16"/>
      <c r="I114" s="16">
        <v>-328.7</v>
      </c>
      <c r="J114" s="16"/>
      <c r="K114" s="16" t="s">
        <v>26</v>
      </c>
      <c r="L114" s="18" t="s">
        <v>74</v>
      </c>
      <c r="M114" s="16"/>
    </row>
    <row r="115" spans="1:13">
      <c r="A115" s="20">
        <v>45447</v>
      </c>
      <c r="B115" s="27"/>
      <c r="C115" s="16"/>
      <c r="D115" s="16"/>
      <c r="E115" s="16"/>
      <c r="F115" s="16"/>
      <c r="G115" s="16"/>
      <c r="H115" s="16"/>
      <c r="I115" s="16">
        <v>-52.2</v>
      </c>
      <c r="J115" s="16"/>
      <c r="K115" s="16" t="s">
        <v>26</v>
      </c>
      <c r="L115" s="18" t="s">
        <v>105</v>
      </c>
      <c r="M115" s="16"/>
    </row>
    <row r="116" spans="1:13">
      <c r="A116" s="20">
        <v>45447</v>
      </c>
      <c r="B116" s="27"/>
      <c r="C116" s="16"/>
      <c r="D116" s="16"/>
      <c r="E116" s="16"/>
      <c r="F116" s="16"/>
      <c r="G116" s="16"/>
      <c r="H116" s="16"/>
      <c r="I116" s="16">
        <v>-185.1</v>
      </c>
      <c r="J116" s="16"/>
      <c r="K116" s="16" t="s">
        <v>26</v>
      </c>
      <c r="L116" s="18" t="s">
        <v>106</v>
      </c>
      <c r="M116" s="16"/>
    </row>
    <row r="117" spans="1:13">
      <c r="A117" s="20">
        <v>45449</v>
      </c>
      <c r="B117" s="27"/>
      <c r="C117" s="16"/>
      <c r="D117" s="16"/>
      <c r="E117" s="16"/>
      <c r="F117" s="16"/>
      <c r="G117" s="16"/>
      <c r="H117" s="16"/>
      <c r="I117" s="16">
        <v>-80</v>
      </c>
      <c r="J117" s="16"/>
      <c r="K117" s="16" t="s">
        <v>26</v>
      </c>
      <c r="L117" s="18" t="s">
        <v>107</v>
      </c>
      <c r="M117" s="16"/>
    </row>
    <row r="118" spans="1:13">
      <c r="A118" s="20">
        <v>45449</v>
      </c>
      <c r="B118" s="27"/>
      <c r="C118" s="16"/>
      <c r="D118" s="16"/>
      <c r="E118" s="16"/>
      <c r="F118" s="16"/>
      <c r="G118" s="16"/>
      <c r="H118" s="16"/>
      <c r="I118" s="16">
        <v>-354.2</v>
      </c>
      <c r="J118" s="16"/>
      <c r="K118" s="16" t="s">
        <v>26</v>
      </c>
      <c r="L118" s="18" t="s">
        <v>108</v>
      </c>
      <c r="M118" s="16"/>
    </row>
    <row r="119" spans="1:13">
      <c r="A119" s="20">
        <v>45449</v>
      </c>
      <c r="B119" s="27"/>
      <c r="C119" s="16"/>
      <c r="D119" s="16"/>
      <c r="E119" s="16"/>
      <c r="F119" s="16"/>
      <c r="G119" s="16"/>
      <c r="H119" s="16"/>
      <c r="I119" s="16">
        <v>-1593.9</v>
      </c>
      <c r="J119" s="16"/>
      <c r="K119" s="16" t="s">
        <v>26</v>
      </c>
      <c r="L119" s="18" t="s">
        <v>108</v>
      </c>
    </row>
    <row r="120" spans="1:13">
      <c r="A120" s="20">
        <v>45450</v>
      </c>
      <c r="B120" s="27"/>
      <c r="C120" s="16"/>
      <c r="D120" s="16"/>
      <c r="E120" s="16"/>
      <c r="F120" s="16"/>
      <c r="G120" s="16"/>
      <c r="H120" s="16"/>
      <c r="I120" s="16">
        <v>-1000</v>
      </c>
      <c r="J120" s="16"/>
      <c r="K120" s="16" t="s">
        <v>29</v>
      </c>
      <c r="L120" s="18"/>
    </row>
    <row r="121" spans="1:13">
      <c r="A121" s="20">
        <v>45453</v>
      </c>
      <c r="B121" s="27"/>
      <c r="C121" s="16"/>
      <c r="D121" s="16"/>
      <c r="E121" s="16"/>
      <c r="F121" s="16"/>
      <c r="G121" s="16"/>
      <c r="H121" s="16"/>
      <c r="I121" s="16">
        <v>-500</v>
      </c>
      <c r="J121" s="16"/>
      <c r="K121" s="16" t="s">
        <v>29</v>
      </c>
      <c r="L121" s="18" t="s">
        <v>109</v>
      </c>
    </row>
    <row r="122" spans="1:13">
      <c r="A122" s="20">
        <v>45454</v>
      </c>
      <c r="B122" s="27"/>
      <c r="C122" s="16"/>
      <c r="D122" s="16"/>
      <c r="E122" s="16"/>
      <c r="F122" s="16"/>
      <c r="G122" s="16"/>
      <c r="H122" s="16"/>
      <c r="I122" s="16">
        <v>-294.8</v>
      </c>
      <c r="J122" s="16"/>
      <c r="K122" s="16" t="s">
        <v>26</v>
      </c>
      <c r="L122" s="18" t="s">
        <v>110</v>
      </c>
    </row>
    <row r="123" spans="1:13">
      <c r="A123" s="20">
        <v>45454</v>
      </c>
      <c r="B123" s="27"/>
      <c r="C123" s="16"/>
      <c r="D123" s="16"/>
      <c r="E123" s="16"/>
      <c r="F123" s="16"/>
      <c r="G123" s="16"/>
      <c r="H123" s="16"/>
      <c r="I123" s="16">
        <v>-1500</v>
      </c>
      <c r="J123" s="16"/>
      <c r="K123" s="16" t="s">
        <v>29</v>
      </c>
      <c r="L123" s="18" t="s">
        <v>109</v>
      </c>
    </row>
    <row r="124" spans="1:13">
      <c r="A124" s="20">
        <v>45455</v>
      </c>
      <c r="B124" s="27"/>
      <c r="C124" s="16"/>
      <c r="D124" s="16"/>
      <c r="E124" s="16"/>
      <c r="F124" s="16"/>
      <c r="G124" s="16"/>
      <c r="H124" s="16"/>
      <c r="I124" s="16">
        <v>-463</v>
      </c>
      <c r="J124" s="16"/>
      <c r="K124" s="16" t="s">
        <v>26</v>
      </c>
      <c r="L124" s="18" t="s">
        <v>111</v>
      </c>
    </row>
    <row r="125" spans="1:13">
      <c r="A125" s="20">
        <v>45455</v>
      </c>
      <c r="B125" s="27"/>
      <c r="C125" s="16"/>
      <c r="D125" s="16"/>
      <c r="E125" s="16"/>
      <c r="F125" s="16"/>
      <c r="G125" s="16"/>
      <c r="H125" s="16"/>
      <c r="I125" s="16">
        <v>-399.2</v>
      </c>
      <c r="J125" s="16"/>
      <c r="K125" s="16" t="s">
        <v>26</v>
      </c>
      <c r="L125" s="18" t="s">
        <v>112</v>
      </c>
    </row>
    <row r="126" spans="1:13">
      <c r="A126" s="20">
        <v>45456</v>
      </c>
      <c r="B126" s="27"/>
      <c r="C126" s="16"/>
      <c r="D126" s="16"/>
      <c r="E126" s="16"/>
      <c r="F126" s="16"/>
      <c r="G126" s="16"/>
      <c r="H126" s="16"/>
      <c r="I126" s="16">
        <v>-99.8</v>
      </c>
      <c r="J126" s="16"/>
      <c r="K126" s="16" t="s">
        <v>26</v>
      </c>
      <c r="L126" s="18" t="s">
        <v>113</v>
      </c>
    </row>
    <row r="127" spans="1:13">
      <c r="A127" s="20">
        <v>45457</v>
      </c>
      <c r="B127" s="27"/>
      <c r="C127" s="16"/>
      <c r="D127" s="16"/>
      <c r="E127" s="16"/>
      <c r="F127" s="16"/>
      <c r="G127" s="16"/>
      <c r="H127" s="16"/>
      <c r="I127" s="16">
        <v>-68</v>
      </c>
      <c r="J127" s="16"/>
      <c r="K127" s="16" t="s">
        <v>26</v>
      </c>
      <c r="L127" s="18" t="s">
        <v>114</v>
      </c>
    </row>
    <row r="128" spans="1:13">
      <c r="A128" s="20">
        <v>45460</v>
      </c>
      <c r="B128" s="27"/>
      <c r="C128" s="16"/>
      <c r="D128" s="16"/>
      <c r="E128" s="16"/>
      <c r="F128" s="16"/>
      <c r="G128" s="16"/>
      <c r="H128" s="16"/>
      <c r="I128" s="16">
        <v>-5000</v>
      </c>
      <c r="J128" s="16"/>
      <c r="K128" s="16" t="s">
        <v>30</v>
      </c>
      <c r="L128" s="18" t="s">
        <v>31</v>
      </c>
    </row>
    <row r="129" spans="1:12">
      <c r="A129" s="20">
        <v>45460</v>
      </c>
      <c r="B129" s="27"/>
      <c r="C129" s="16"/>
      <c r="D129" s="16"/>
      <c r="E129" s="16"/>
      <c r="F129" s="16"/>
      <c r="G129" s="16"/>
      <c r="H129" s="16"/>
      <c r="I129" s="16">
        <v>-9200</v>
      </c>
      <c r="J129" s="16"/>
      <c r="K129" s="16" t="s">
        <v>37</v>
      </c>
      <c r="L129" s="18" t="s">
        <v>115</v>
      </c>
    </row>
    <row r="130" spans="1:12">
      <c r="A130" s="20">
        <v>45460</v>
      </c>
      <c r="B130" s="27"/>
      <c r="C130" s="16"/>
      <c r="D130" s="16"/>
      <c r="E130" s="16"/>
      <c r="F130" s="16"/>
      <c r="G130" s="16"/>
      <c r="H130" s="16"/>
      <c r="I130" s="16">
        <v>-4000</v>
      </c>
      <c r="J130" s="16"/>
      <c r="K130" s="16" t="s">
        <v>37</v>
      </c>
      <c r="L130" s="18" t="s">
        <v>116</v>
      </c>
    </row>
    <row r="131" spans="1:12">
      <c r="A131" s="20">
        <v>45460</v>
      </c>
      <c r="B131" s="27"/>
      <c r="C131" s="16"/>
      <c r="D131" s="16"/>
      <c r="E131" s="16"/>
      <c r="F131" s="16"/>
      <c r="G131" s="16"/>
      <c r="H131" s="16"/>
      <c r="I131" s="16">
        <v>-600</v>
      </c>
      <c r="J131" s="16"/>
      <c r="K131" s="16" t="s">
        <v>37</v>
      </c>
      <c r="L131" s="18" t="s">
        <v>117</v>
      </c>
    </row>
    <row r="132" spans="1:12">
      <c r="A132" s="20">
        <v>45460</v>
      </c>
      <c r="B132" s="27"/>
      <c r="C132" s="16"/>
      <c r="D132" s="16"/>
      <c r="E132" s="16"/>
      <c r="F132" s="16"/>
      <c r="G132" s="16"/>
      <c r="H132" s="16"/>
      <c r="I132" s="16">
        <v>-3880</v>
      </c>
      <c r="J132" s="16"/>
      <c r="K132" s="16" t="s">
        <v>37</v>
      </c>
      <c r="L132" s="18" t="s">
        <v>118</v>
      </c>
    </row>
    <row r="133" spans="1:12">
      <c r="A133" s="20">
        <v>45460</v>
      </c>
      <c r="B133" s="27"/>
      <c r="C133" s="16"/>
      <c r="D133" s="16"/>
      <c r="E133" s="16"/>
      <c r="F133" s="16"/>
      <c r="G133" s="16"/>
      <c r="H133" s="16"/>
      <c r="I133" s="16">
        <v>-10580</v>
      </c>
      <c r="J133" s="16"/>
      <c r="K133" s="16" t="s">
        <v>30</v>
      </c>
      <c r="L133" s="18" t="s">
        <v>119</v>
      </c>
    </row>
    <row r="134" spans="1:12">
      <c r="A134" s="20">
        <v>45460</v>
      </c>
      <c r="B134" s="27"/>
      <c r="C134" s="16"/>
      <c r="D134" s="16"/>
      <c r="E134" s="16"/>
      <c r="F134" s="16"/>
      <c r="G134" s="16"/>
      <c r="H134" s="16"/>
      <c r="I134" s="16">
        <v>-2000</v>
      </c>
      <c r="J134" s="16"/>
      <c r="K134" s="16" t="s">
        <v>30</v>
      </c>
      <c r="L134" s="18" t="s">
        <v>120</v>
      </c>
    </row>
    <row r="135" spans="1:12">
      <c r="A135" s="20">
        <v>45460</v>
      </c>
      <c r="B135" s="27"/>
      <c r="C135" s="16"/>
      <c r="D135" s="16"/>
      <c r="E135" s="16"/>
      <c r="F135" s="16"/>
      <c r="G135" s="16"/>
      <c r="H135" s="16"/>
      <c r="I135" s="16">
        <v>-270</v>
      </c>
      <c r="J135" s="16"/>
      <c r="K135" s="16" t="s">
        <v>26</v>
      </c>
      <c r="L135" s="18" t="s">
        <v>121</v>
      </c>
    </row>
    <row r="136" spans="1:12">
      <c r="A136" s="20">
        <v>45460</v>
      </c>
      <c r="B136" s="27"/>
      <c r="C136" s="16"/>
      <c r="D136" s="16"/>
      <c r="E136" s="16"/>
      <c r="F136" s="16"/>
      <c r="G136" s="16"/>
      <c r="H136" s="16"/>
      <c r="I136" s="16">
        <v>-120</v>
      </c>
      <c r="J136" s="16"/>
      <c r="K136" s="16" t="s">
        <v>37</v>
      </c>
      <c r="L136" s="18" t="s">
        <v>122</v>
      </c>
    </row>
    <row r="137" spans="1:12">
      <c r="A137" s="20">
        <v>45460</v>
      </c>
      <c r="B137" s="27"/>
      <c r="C137" s="16"/>
      <c r="D137" s="16"/>
      <c r="E137" s="16"/>
      <c r="F137" s="16"/>
      <c r="G137" s="16"/>
      <c r="H137" s="16"/>
      <c r="I137" s="16">
        <v>-31580</v>
      </c>
      <c r="J137" s="16"/>
      <c r="K137" s="16" t="s">
        <v>30</v>
      </c>
      <c r="L137" s="18" t="s">
        <v>123</v>
      </c>
    </row>
    <row r="138" spans="1:12">
      <c r="A138" s="20">
        <v>45460</v>
      </c>
      <c r="B138" s="27"/>
      <c r="C138" s="16"/>
      <c r="D138" s="16"/>
      <c r="E138" s="16"/>
      <c r="F138" s="16"/>
      <c r="G138" s="16"/>
      <c r="H138" s="16"/>
      <c r="I138" s="16">
        <v>-11840</v>
      </c>
      <c r="J138" s="16"/>
      <c r="K138" s="16" t="s">
        <v>30</v>
      </c>
      <c r="L138" s="18" t="s">
        <v>124</v>
      </c>
    </row>
    <row r="139" spans="1:12">
      <c r="A139" s="20">
        <v>45460</v>
      </c>
      <c r="B139" s="27"/>
      <c r="C139" s="16"/>
      <c r="D139" s="16"/>
      <c r="E139" s="16"/>
      <c r="F139" s="16"/>
      <c r="G139" s="16"/>
      <c r="H139" s="16"/>
      <c r="I139" s="16">
        <v>-14560</v>
      </c>
      <c r="J139" s="16"/>
      <c r="K139" s="16" t="s">
        <v>30</v>
      </c>
      <c r="L139" s="18" t="s">
        <v>125</v>
      </c>
    </row>
    <row r="140" spans="1:12">
      <c r="A140" s="20">
        <v>45460</v>
      </c>
      <c r="B140" s="27"/>
      <c r="C140" s="16"/>
      <c r="D140" s="16"/>
      <c r="E140" s="16"/>
      <c r="F140" s="16"/>
      <c r="G140" s="16"/>
      <c r="H140" s="16"/>
      <c r="I140" s="16">
        <v>-22040</v>
      </c>
      <c r="J140" s="16"/>
      <c r="K140" s="16" t="s">
        <v>30</v>
      </c>
      <c r="L140" s="18" t="s">
        <v>126</v>
      </c>
    </row>
    <row r="141" spans="1:12">
      <c r="A141" s="20">
        <v>45460</v>
      </c>
      <c r="B141" s="27"/>
      <c r="C141" s="16"/>
      <c r="D141" s="16"/>
      <c r="E141" s="16"/>
      <c r="F141" s="16"/>
      <c r="G141" s="16"/>
      <c r="H141" s="16"/>
      <c r="I141" s="16">
        <v>-12000</v>
      </c>
      <c r="J141" s="16"/>
      <c r="K141" s="16" t="s">
        <v>30</v>
      </c>
      <c r="L141" s="18" t="s">
        <v>127</v>
      </c>
    </row>
    <row r="142" spans="1:12">
      <c r="A142" s="20">
        <v>45460</v>
      </c>
      <c r="B142" s="27"/>
      <c r="C142" s="16"/>
      <c r="D142" s="16"/>
      <c r="E142" s="16"/>
      <c r="F142" s="16"/>
      <c r="G142" s="16"/>
      <c r="H142" s="16"/>
      <c r="I142" s="16">
        <v>-15</v>
      </c>
      <c r="J142" s="16"/>
      <c r="K142" s="16" t="s">
        <v>26</v>
      </c>
      <c r="L142" s="18" t="s">
        <v>128</v>
      </c>
    </row>
    <row r="143" spans="1:12">
      <c r="A143" s="20">
        <v>45462</v>
      </c>
      <c r="B143" s="27"/>
      <c r="C143" s="16"/>
      <c r="D143" s="16"/>
      <c r="E143" s="16"/>
      <c r="F143" s="16"/>
      <c r="G143" s="16"/>
      <c r="H143" s="16"/>
      <c r="I143" s="16">
        <v>-300</v>
      </c>
      <c r="J143" s="16"/>
      <c r="K143" s="16" t="s">
        <v>26</v>
      </c>
      <c r="L143" s="18" t="s">
        <v>129</v>
      </c>
    </row>
    <row r="144" spans="1:12">
      <c r="A144" s="20">
        <v>45464</v>
      </c>
      <c r="B144" s="27"/>
      <c r="C144" s="16"/>
      <c r="D144" s="16"/>
      <c r="E144" s="16"/>
      <c r="F144" s="16"/>
      <c r="G144" s="16"/>
      <c r="H144" s="16"/>
      <c r="I144" s="16">
        <v>-72.400000000000006</v>
      </c>
      <c r="J144" s="16"/>
      <c r="K144" s="16" t="s">
        <v>26</v>
      </c>
      <c r="L144" s="18" t="s">
        <v>130</v>
      </c>
    </row>
    <row r="145" spans="1:12">
      <c r="A145" s="20">
        <v>45467</v>
      </c>
      <c r="B145" s="27"/>
      <c r="C145" s="16"/>
      <c r="D145" s="16"/>
      <c r="E145" s="16"/>
      <c r="F145" s="16"/>
      <c r="G145" s="16"/>
      <c r="H145" s="16"/>
      <c r="I145" s="16">
        <v>-307.89999999999998</v>
      </c>
      <c r="J145" s="16"/>
      <c r="K145" s="16" t="s">
        <v>26</v>
      </c>
      <c r="L145" s="18" t="s">
        <v>131</v>
      </c>
    </row>
    <row r="146" spans="1:12">
      <c r="A146" s="20">
        <v>45468</v>
      </c>
      <c r="B146" s="27"/>
      <c r="C146" s="16"/>
      <c r="D146" s="16"/>
      <c r="E146" s="16"/>
      <c r="F146" s="16"/>
      <c r="G146" s="16"/>
      <c r="H146" s="16"/>
      <c r="I146" s="16">
        <v>-1979.9</v>
      </c>
      <c r="J146" s="16"/>
      <c r="K146" s="16" t="s">
        <v>26</v>
      </c>
      <c r="L146" s="18" t="s">
        <v>132</v>
      </c>
    </row>
    <row r="147" spans="1:12">
      <c r="A147" s="20">
        <v>45470</v>
      </c>
      <c r="B147" s="27"/>
      <c r="C147" s="16"/>
      <c r="D147" s="16"/>
      <c r="E147" s="16"/>
      <c r="F147" s="16"/>
      <c r="G147" s="16"/>
      <c r="H147" s="16"/>
      <c r="I147" s="16">
        <v>-1979.9</v>
      </c>
      <c r="J147" s="16"/>
      <c r="K147" s="16" t="s">
        <v>26</v>
      </c>
      <c r="L147" s="18" t="s">
        <v>133</v>
      </c>
    </row>
    <row r="148" spans="1:12">
      <c r="A148" s="20">
        <v>45471</v>
      </c>
      <c r="B148" s="27"/>
      <c r="C148" s="16"/>
      <c r="D148" s="16"/>
      <c r="E148" s="16"/>
      <c r="F148" s="16"/>
      <c r="G148" s="16"/>
      <c r="H148" s="16"/>
      <c r="I148" s="16">
        <v>-5000</v>
      </c>
      <c r="J148" s="16"/>
      <c r="K148" s="16" t="s">
        <v>26</v>
      </c>
      <c r="L148" s="18" t="s">
        <v>134</v>
      </c>
    </row>
    <row r="149" spans="1:12">
      <c r="A149" s="20">
        <v>45471</v>
      </c>
      <c r="B149" s="27"/>
      <c r="C149" s="16"/>
      <c r="D149" s="16"/>
      <c r="E149" s="16"/>
      <c r="F149" s="16"/>
      <c r="G149" s="16"/>
      <c r="H149" s="16"/>
      <c r="I149" s="16">
        <v>-8000</v>
      </c>
      <c r="J149" s="16"/>
      <c r="K149" s="16" t="s">
        <v>26</v>
      </c>
      <c r="L149" s="18" t="s">
        <v>135</v>
      </c>
    </row>
    <row r="150" spans="1:12">
      <c r="A150" s="20">
        <v>45471</v>
      </c>
      <c r="B150" s="27"/>
      <c r="C150" s="16"/>
      <c r="D150" s="16"/>
      <c r="E150" s="16"/>
      <c r="F150" s="16"/>
      <c r="G150" s="16"/>
      <c r="H150" s="16"/>
      <c r="I150" s="16">
        <v>-2700</v>
      </c>
      <c r="J150" s="16"/>
      <c r="K150" s="16" t="s">
        <v>26</v>
      </c>
      <c r="L150" s="18" t="s">
        <v>136</v>
      </c>
    </row>
    <row r="151" spans="1:12">
      <c r="A151" s="20">
        <v>45473</v>
      </c>
      <c r="B151" s="27"/>
      <c r="C151" s="16"/>
      <c r="D151" s="16"/>
      <c r="E151" s="16"/>
      <c r="F151" s="16"/>
      <c r="G151" s="16"/>
      <c r="H151" s="16"/>
      <c r="I151" s="16">
        <v>-600</v>
      </c>
      <c r="J151" s="16"/>
      <c r="K151" s="16" t="s">
        <v>26</v>
      </c>
      <c r="L151" s="18" t="s">
        <v>137</v>
      </c>
    </row>
    <row r="152" spans="1:12">
      <c r="A152" s="20">
        <v>45474</v>
      </c>
      <c r="B152" s="27"/>
      <c r="C152" s="16"/>
      <c r="D152" s="16"/>
      <c r="E152" s="16"/>
      <c r="F152" s="16"/>
      <c r="G152" s="16"/>
      <c r="H152" s="16"/>
      <c r="I152" s="16">
        <v>-49486.28</v>
      </c>
      <c r="J152" s="16"/>
      <c r="K152" s="16" t="s">
        <v>30</v>
      </c>
      <c r="L152" s="18" t="s">
        <v>138</v>
      </c>
    </row>
    <row r="153" spans="1:12">
      <c r="A153" s="20">
        <v>45474</v>
      </c>
      <c r="B153" s="27"/>
      <c r="C153" s="16"/>
      <c r="D153" s="16"/>
      <c r="E153" s="16"/>
      <c r="F153" s="16"/>
      <c r="G153" s="16"/>
      <c r="H153" s="16"/>
      <c r="I153" s="16">
        <v>-370</v>
      </c>
      <c r="J153" s="16"/>
      <c r="K153" s="16" t="s">
        <v>30</v>
      </c>
      <c r="L153" s="18" t="s">
        <v>139</v>
      </c>
    </row>
    <row r="154" spans="1:12">
      <c r="A154" s="20">
        <v>45474</v>
      </c>
      <c r="B154" s="27"/>
      <c r="C154" s="16"/>
      <c r="D154" s="16"/>
      <c r="E154" s="16"/>
      <c r="F154" s="16"/>
      <c r="G154" s="16"/>
      <c r="H154" s="16"/>
      <c r="I154" s="16">
        <v>-2000</v>
      </c>
      <c r="J154" s="16"/>
      <c r="K154" s="16" t="s">
        <v>30</v>
      </c>
      <c r="L154" s="18" t="s">
        <v>140</v>
      </c>
    </row>
    <row r="155" spans="1:12">
      <c r="A155" s="19">
        <v>45475</v>
      </c>
      <c r="B155" s="27"/>
      <c r="C155" s="16"/>
      <c r="D155" s="16"/>
      <c r="E155" s="16"/>
      <c r="F155" s="16"/>
      <c r="G155" s="16"/>
      <c r="H155" s="16"/>
      <c r="I155" s="16">
        <v>-366</v>
      </c>
      <c r="J155" s="16"/>
      <c r="K155" s="16" t="s">
        <v>26</v>
      </c>
      <c r="L155" s="18" t="s">
        <v>141</v>
      </c>
    </row>
    <row r="156" spans="1:12">
      <c r="A156" s="19">
        <v>45476</v>
      </c>
      <c r="B156" s="27"/>
      <c r="C156" s="16"/>
      <c r="D156" s="16"/>
      <c r="E156" s="16"/>
      <c r="F156" s="16"/>
      <c r="G156" s="16"/>
      <c r="H156" s="16"/>
      <c r="I156" s="16">
        <v>-2000</v>
      </c>
      <c r="J156" s="16"/>
      <c r="K156" s="16" t="s">
        <v>26</v>
      </c>
      <c r="L156" s="18" t="s">
        <v>142</v>
      </c>
    </row>
    <row r="157" spans="1:12">
      <c r="A157" s="19">
        <v>45476</v>
      </c>
      <c r="B157" s="27"/>
      <c r="C157" s="16"/>
      <c r="D157" s="16"/>
      <c r="E157" s="16"/>
      <c r="F157" s="16"/>
      <c r="G157" s="16"/>
      <c r="H157" s="16"/>
      <c r="I157" s="16">
        <v>-21.59</v>
      </c>
      <c r="J157" s="16"/>
      <c r="K157" s="16" t="s">
        <v>26</v>
      </c>
      <c r="L157" s="18" t="s">
        <v>143</v>
      </c>
    </row>
    <row r="158" spans="1:12">
      <c r="A158" s="19">
        <v>45478</v>
      </c>
      <c r="B158" s="27"/>
      <c r="C158" s="16"/>
      <c r="D158" s="16"/>
      <c r="E158" s="16"/>
      <c r="F158" s="16"/>
      <c r="G158" s="16"/>
      <c r="H158" s="16"/>
      <c r="I158" s="16">
        <v>-600</v>
      </c>
      <c r="J158" s="16"/>
      <c r="K158" s="16" t="s">
        <v>26</v>
      </c>
      <c r="L158" s="18" t="s">
        <v>144</v>
      </c>
    </row>
    <row r="159" spans="1:12">
      <c r="A159" s="19">
        <v>45478</v>
      </c>
      <c r="B159" s="27"/>
      <c r="C159" s="16"/>
      <c r="D159" s="16"/>
      <c r="E159" s="16"/>
      <c r="F159" s="16"/>
      <c r="G159" s="16"/>
      <c r="H159" s="16"/>
      <c r="I159" s="16">
        <v>-1979.9</v>
      </c>
      <c r="J159" s="16"/>
      <c r="K159" s="16" t="s">
        <v>26</v>
      </c>
      <c r="L159" s="18" t="s">
        <v>145</v>
      </c>
    </row>
    <row r="160" spans="1:12">
      <c r="A160" s="19">
        <v>45481</v>
      </c>
      <c r="B160" s="27"/>
      <c r="C160" s="16"/>
      <c r="D160" s="16"/>
      <c r="E160" s="16"/>
      <c r="F160" s="16"/>
      <c r="G160" s="16"/>
      <c r="H160" s="16"/>
      <c r="I160" s="16">
        <v>-7000</v>
      </c>
      <c r="J160" s="16"/>
      <c r="K160" s="16" t="s">
        <v>29</v>
      </c>
      <c r="L160" s="18" t="s">
        <v>146</v>
      </c>
    </row>
    <row r="161" spans="1:12">
      <c r="A161" s="19">
        <v>45481</v>
      </c>
      <c r="B161" s="27"/>
      <c r="C161" s="16"/>
      <c r="D161" s="16"/>
      <c r="E161" s="16"/>
      <c r="F161" s="16"/>
      <c r="G161" s="16"/>
      <c r="H161" s="16"/>
      <c r="I161" s="16">
        <v>-1898.39</v>
      </c>
      <c r="J161" s="16"/>
      <c r="K161" s="16" t="s">
        <v>26</v>
      </c>
      <c r="L161" s="18" t="s">
        <v>231</v>
      </c>
    </row>
    <row r="162" spans="1:12">
      <c r="A162" s="19">
        <v>45483</v>
      </c>
      <c r="B162" s="27"/>
      <c r="C162" s="16"/>
      <c r="D162" s="16"/>
      <c r="E162" s="16"/>
      <c r="F162" s="16"/>
      <c r="G162" s="16"/>
      <c r="H162" s="16"/>
      <c r="I162" s="16">
        <v>-664.9</v>
      </c>
      <c r="J162" s="16"/>
      <c r="K162" s="16" t="s">
        <v>26</v>
      </c>
      <c r="L162" s="18" t="s">
        <v>74</v>
      </c>
    </row>
    <row r="163" spans="1:12">
      <c r="A163" s="19">
        <v>45483</v>
      </c>
      <c r="B163" s="27"/>
      <c r="C163" s="16"/>
      <c r="D163" s="16"/>
      <c r="E163" s="16"/>
      <c r="F163" s="16"/>
      <c r="G163" s="16"/>
      <c r="H163" s="16"/>
      <c r="I163" s="16">
        <v>-10000</v>
      </c>
      <c r="J163" s="16"/>
      <c r="K163" s="16" t="s">
        <v>26</v>
      </c>
      <c r="L163" s="18" t="s">
        <v>147</v>
      </c>
    </row>
    <row r="164" spans="1:12">
      <c r="A164" s="19">
        <v>45485</v>
      </c>
      <c r="B164" s="27"/>
      <c r="C164" s="16"/>
      <c r="D164" s="16"/>
      <c r="E164" s="16"/>
      <c r="F164" s="16"/>
      <c r="G164" s="16"/>
      <c r="H164" s="16"/>
      <c r="I164" s="16">
        <v>-1516</v>
      </c>
      <c r="J164" s="16"/>
      <c r="K164" s="16" t="s">
        <v>26</v>
      </c>
      <c r="L164" s="18" t="s">
        <v>148</v>
      </c>
    </row>
    <row r="165" spans="1:12">
      <c r="A165" s="19">
        <v>45485</v>
      </c>
      <c r="B165" s="27"/>
      <c r="C165" s="16"/>
      <c r="D165" s="16"/>
      <c r="E165" s="16"/>
      <c r="F165" s="16"/>
      <c r="G165" s="16"/>
      <c r="H165" s="16"/>
      <c r="I165" s="16">
        <v>-214.81</v>
      </c>
      <c r="J165" s="16"/>
      <c r="K165" s="16" t="s">
        <v>26</v>
      </c>
      <c r="L165" s="18" t="s">
        <v>149</v>
      </c>
    </row>
    <row r="166" spans="1:12">
      <c r="A166" s="19">
        <v>45485</v>
      </c>
      <c r="B166" s="27"/>
      <c r="C166" s="16"/>
      <c r="D166" s="16"/>
      <c r="E166" s="16"/>
      <c r="F166" s="16"/>
      <c r="G166" s="16"/>
      <c r="H166" s="16"/>
      <c r="I166" s="16">
        <v>-6084.8</v>
      </c>
      <c r="J166" s="16"/>
      <c r="K166" s="16" t="s">
        <v>26</v>
      </c>
      <c r="L166" s="18" t="s">
        <v>150</v>
      </c>
    </row>
    <row r="167" spans="1:12">
      <c r="A167" s="19">
        <v>45487</v>
      </c>
      <c r="B167" s="27"/>
      <c r="C167" s="16"/>
      <c r="D167" s="16"/>
      <c r="E167" s="16"/>
      <c r="F167" s="16"/>
      <c r="G167" s="16"/>
      <c r="H167" s="16"/>
      <c r="I167" s="16">
        <v>-2599.5</v>
      </c>
      <c r="J167" s="16"/>
      <c r="K167" s="16" t="s">
        <v>26</v>
      </c>
      <c r="L167" s="18" t="s">
        <v>151</v>
      </c>
    </row>
    <row r="168" spans="1:12">
      <c r="A168" s="19">
        <v>45488</v>
      </c>
      <c r="B168" s="27"/>
      <c r="C168" s="16"/>
      <c r="D168" s="16"/>
      <c r="E168" s="16"/>
      <c r="F168" s="16"/>
      <c r="G168" s="16"/>
      <c r="H168" s="16"/>
      <c r="I168" s="16">
        <v>-12830</v>
      </c>
      <c r="J168" s="16"/>
      <c r="K168" s="16" t="s">
        <v>30</v>
      </c>
      <c r="L168" s="18" t="s">
        <v>152</v>
      </c>
    </row>
    <row r="169" spans="1:12">
      <c r="A169" s="19">
        <v>45488</v>
      </c>
      <c r="B169" s="27"/>
      <c r="C169" s="16"/>
      <c r="D169" s="16"/>
      <c r="E169" s="16"/>
      <c r="F169" s="16"/>
      <c r="G169" s="16"/>
      <c r="H169" s="16"/>
      <c r="I169" s="16">
        <v>-300</v>
      </c>
      <c r="J169" s="16"/>
      <c r="K169" s="16" t="s">
        <v>30</v>
      </c>
      <c r="L169" s="18" t="s">
        <v>153</v>
      </c>
    </row>
    <row r="170" spans="1:12">
      <c r="A170" s="19">
        <v>45488</v>
      </c>
      <c r="B170" s="27"/>
      <c r="C170" s="16"/>
      <c r="D170" s="16"/>
      <c r="E170" s="16"/>
      <c r="F170" s="16"/>
      <c r="G170" s="16"/>
      <c r="H170" s="16"/>
      <c r="I170" s="16">
        <v>-800</v>
      </c>
      <c r="J170" s="16"/>
      <c r="K170" s="16" t="s">
        <v>30</v>
      </c>
      <c r="L170" s="18" t="s">
        <v>154</v>
      </c>
    </row>
    <row r="171" spans="1:12">
      <c r="A171" s="19">
        <v>45488</v>
      </c>
      <c r="B171" s="27"/>
      <c r="C171" s="16"/>
      <c r="D171" s="16"/>
      <c r="E171" s="16"/>
      <c r="F171" s="16"/>
      <c r="G171" s="16"/>
      <c r="H171" s="16"/>
      <c r="I171" s="16">
        <v>-240000</v>
      </c>
      <c r="J171" s="16"/>
      <c r="K171" s="16" t="s">
        <v>30</v>
      </c>
      <c r="L171" s="18" t="s">
        <v>155</v>
      </c>
    </row>
    <row r="172" spans="1:12">
      <c r="A172" s="19">
        <v>45488</v>
      </c>
      <c r="B172" s="27"/>
      <c r="C172" s="16"/>
      <c r="D172" s="16"/>
      <c r="E172" s="16"/>
      <c r="F172" s="16"/>
      <c r="G172" s="16"/>
      <c r="H172" s="16"/>
      <c r="I172" s="16">
        <v>-5000</v>
      </c>
      <c r="J172" s="16"/>
      <c r="K172" s="16" t="s">
        <v>30</v>
      </c>
      <c r="L172" s="18" t="s">
        <v>156</v>
      </c>
    </row>
    <row r="173" spans="1:12">
      <c r="A173" s="19">
        <v>45488</v>
      </c>
      <c r="B173" s="27"/>
      <c r="C173" s="16"/>
      <c r="D173" s="16"/>
      <c r="E173" s="16"/>
      <c r="F173" s="16"/>
      <c r="G173" s="16"/>
      <c r="H173" s="16"/>
      <c r="I173" s="16">
        <v>-7000</v>
      </c>
      <c r="J173" s="16"/>
      <c r="K173" s="16" t="s">
        <v>26</v>
      </c>
      <c r="L173" s="18" t="s">
        <v>157</v>
      </c>
    </row>
    <row r="174" spans="1:12">
      <c r="A174" s="19">
        <v>45488</v>
      </c>
      <c r="B174" s="27"/>
      <c r="C174" s="16"/>
      <c r="D174" s="16"/>
      <c r="E174" s="16"/>
      <c r="F174" s="16"/>
      <c r="G174" s="16"/>
      <c r="H174" s="16"/>
      <c r="I174" s="16">
        <v>-12000</v>
      </c>
      <c r="J174" s="16"/>
      <c r="K174" s="16" t="s">
        <v>30</v>
      </c>
      <c r="L174" s="18" t="s">
        <v>158</v>
      </c>
    </row>
    <row r="175" spans="1:12">
      <c r="A175" s="19">
        <v>45490</v>
      </c>
      <c r="B175" s="27"/>
      <c r="C175" s="16"/>
      <c r="D175" s="16"/>
      <c r="E175" s="16"/>
      <c r="F175" s="16"/>
      <c r="G175" s="16"/>
      <c r="H175" s="16"/>
      <c r="I175" s="16">
        <v>-1000</v>
      </c>
      <c r="J175" s="16"/>
      <c r="K175" s="16" t="s">
        <v>26</v>
      </c>
      <c r="L175" s="18" t="s">
        <v>159</v>
      </c>
    </row>
    <row r="176" spans="1:12">
      <c r="A176" s="19">
        <v>45505</v>
      </c>
      <c r="B176" s="27"/>
      <c r="C176" s="16"/>
      <c r="D176" s="16"/>
      <c r="E176" s="16"/>
      <c r="F176" s="16"/>
      <c r="G176" s="16"/>
      <c r="H176" s="16"/>
      <c r="I176" s="16">
        <v>-5769.41</v>
      </c>
      <c r="J176" s="16"/>
      <c r="K176" s="16" t="s">
        <v>26</v>
      </c>
      <c r="L176" s="18" t="s">
        <v>160</v>
      </c>
    </row>
    <row r="177" spans="1:12">
      <c r="A177" s="19">
        <v>45505</v>
      </c>
      <c r="B177" s="27"/>
      <c r="C177" s="16"/>
      <c r="D177" s="16"/>
      <c r="E177" s="16"/>
      <c r="F177" s="16"/>
      <c r="G177" s="16"/>
      <c r="H177" s="16"/>
      <c r="I177" s="16">
        <v>-14000</v>
      </c>
      <c r="J177" s="16"/>
      <c r="K177" s="16" t="s">
        <v>26</v>
      </c>
      <c r="L177" s="18" t="s">
        <v>161</v>
      </c>
    </row>
    <row r="178" spans="1:12">
      <c r="A178" s="19">
        <v>45505</v>
      </c>
      <c r="B178" s="27"/>
      <c r="C178" s="16"/>
      <c r="D178" s="16"/>
      <c r="E178" s="16"/>
      <c r="F178" s="16"/>
      <c r="G178" s="16"/>
      <c r="H178" s="16"/>
      <c r="I178" s="16">
        <v>-70773.282999999996</v>
      </c>
      <c r="J178" s="16"/>
      <c r="K178" s="16" t="s">
        <v>30</v>
      </c>
      <c r="L178" s="18" t="s">
        <v>162</v>
      </c>
    </row>
    <row r="179" spans="1:12">
      <c r="A179" s="19">
        <v>45509</v>
      </c>
      <c r="B179" s="27"/>
      <c r="C179" s="16"/>
      <c r="D179" s="16"/>
      <c r="E179" s="16"/>
      <c r="F179" s="16"/>
      <c r="G179" s="16"/>
      <c r="H179" s="16"/>
      <c r="I179" s="16">
        <v>-10000</v>
      </c>
      <c r="J179" s="16"/>
      <c r="K179" s="16" t="s">
        <v>26</v>
      </c>
      <c r="L179" s="18" t="s">
        <v>163</v>
      </c>
    </row>
    <row r="180" spans="1:12">
      <c r="A180" s="19">
        <v>45509</v>
      </c>
      <c r="B180" s="27"/>
      <c r="C180" s="16"/>
      <c r="D180" s="16"/>
      <c r="E180" s="16"/>
      <c r="F180" s="16"/>
      <c r="G180" s="16"/>
      <c r="H180" s="16"/>
      <c r="I180" s="16">
        <v>-1000</v>
      </c>
      <c r="J180" s="16"/>
      <c r="K180" s="16" t="s">
        <v>30</v>
      </c>
      <c r="L180" s="18" t="s">
        <v>164</v>
      </c>
    </row>
    <row r="181" spans="1:12">
      <c r="A181" s="19">
        <v>45523</v>
      </c>
      <c r="B181" s="27"/>
      <c r="C181" s="16"/>
      <c r="D181" s="16"/>
      <c r="E181" s="16"/>
      <c r="F181" s="16"/>
      <c r="G181" s="16"/>
      <c r="H181" s="16"/>
      <c r="I181" s="16">
        <v>-234470</v>
      </c>
      <c r="J181" s="16"/>
      <c r="K181" s="16" t="s">
        <v>37</v>
      </c>
      <c r="L181" s="18" t="s">
        <v>165</v>
      </c>
    </row>
    <row r="182" spans="1:12">
      <c r="A182" s="19">
        <v>45523</v>
      </c>
      <c r="B182" s="27"/>
      <c r="C182" s="16"/>
      <c r="D182" s="16"/>
      <c r="E182" s="16"/>
      <c r="F182" s="16"/>
      <c r="G182" s="16"/>
      <c r="H182" s="16"/>
      <c r="I182" s="16">
        <v>-100</v>
      </c>
      <c r="J182" s="16"/>
      <c r="K182" s="16" t="s">
        <v>37</v>
      </c>
      <c r="L182" s="18" t="s">
        <v>166</v>
      </c>
    </row>
    <row r="183" spans="1:12">
      <c r="A183" s="19">
        <v>45523</v>
      </c>
      <c r="B183" s="27"/>
      <c r="C183" s="16"/>
      <c r="D183" s="16"/>
      <c r="E183" s="16"/>
      <c r="F183" s="16"/>
      <c r="G183" s="16"/>
      <c r="H183" s="16"/>
      <c r="I183" s="16">
        <v>-2000</v>
      </c>
      <c r="J183" s="16"/>
      <c r="K183" s="16" t="s">
        <v>37</v>
      </c>
      <c r="L183" s="18" t="s">
        <v>167</v>
      </c>
    </row>
    <row r="184" spans="1:12">
      <c r="A184" s="19">
        <v>45523</v>
      </c>
      <c r="B184" s="27"/>
      <c r="C184" s="16"/>
      <c r="D184" s="16"/>
      <c r="E184" s="16"/>
      <c r="F184" s="16"/>
      <c r="G184" s="16"/>
      <c r="H184" s="16"/>
      <c r="I184" s="16">
        <v>-5000</v>
      </c>
      <c r="J184" s="16"/>
      <c r="K184" s="16" t="s">
        <v>30</v>
      </c>
      <c r="L184" s="18" t="s">
        <v>31</v>
      </c>
    </row>
    <row r="185" spans="1:12">
      <c r="A185" s="19">
        <v>45523</v>
      </c>
      <c r="B185" s="27"/>
      <c r="C185" s="16"/>
      <c r="D185" s="16"/>
      <c r="E185" s="16"/>
      <c r="F185" s="16"/>
      <c r="G185" s="16"/>
      <c r="H185" s="16"/>
      <c r="I185" s="16">
        <v>-12000</v>
      </c>
      <c r="J185" s="16"/>
      <c r="K185" s="16" t="s">
        <v>30</v>
      </c>
      <c r="L185" s="18" t="s">
        <v>168</v>
      </c>
    </row>
    <row r="186" spans="1:12">
      <c r="A186" s="19">
        <v>45534</v>
      </c>
      <c r="B186" s="27"/>
      <c r="C186" s="16"/>
      <c r="D186" s="16"/>
      <c r="E186" s="16"/>
      <c r="F186" s="16"/>
      <c r="G186" s="16"/>
      <c r="H186" s="16"/>
      <c r="I186" s="16">
        <v>-3000</v>
      </c>
      <c r="J186" s="16"/>
      <c r="K186" s="16" t="s">
        <v>30</v>
      </c>
      <c r="L186" s="18" t="s">
        <v>169</v>
      </c>
    </row>
    <row r="187" spans="1:12">
      <c r="A187" s="19">
        <v>45544</v>
      </c>
      <c r="B187" s="27"/>
      <c r="C187" s="16"/>
      <c r="D187" s="16"/>
      <c r="E187" s="16"/>
      <c r="F187" s="16"/>
      <c r="G187" s="16"/>
      <c r="H187" s="16"/>
      <c r="I187" s="16">
        <v>-3120</v>
      </c>
      <c r="J187" s="16"/>
      <c r="K187" s="16" t="s">
        <v>26</v>
      </c>
      <c r="L187" s="18" t="s">
        <v>170</v>
      </c>
    </row>
    <row r="188" spans="1:12">
      <c r="A188" s="19">
        <v>45547</v>
      </c>
      <c r="B188" s="27"/>
      <c r="C188" s="16"/>
      <c r="D188" s="16"/>
      <c r="E188" s="16"/>
      <c r="F188" s="16"/>
      <c r="G188" s="16"/>
      <c r="H188" s="16"/>
      <c r="I188" s="16">
        <v>-72</v>
      </c>
      <c r="J188" s="16"/>
      <c r="K188" s="16" t="s">
        <v>26</v>
      </c>
      <c r="L188" s="18" t="s">
        <v>171</v>
      </c>
    </row>
    <row r="189" spans="1:12">
      <c r="A189" s="19">
        <v>45549</v>
      </c>
      <c r="B189" s="27"/>
      <c r="C189" s="16"/>
      <c r="D189" s="16"/>
      <c r="E189" s="16"/>
      <c r="F189" s="16"/>
      <c r="G189" s="16"/>
      <c r="H189" s="16"/>
      <c r="I189" s="16">
        <v>-2500</v>
      </c>
      <c r="J189" s="16"/>
      <c r="K189" s="16" t="s">
        <v>26</v>
      </c>
      <c r="L189" s="18" t="s">
        <v>172</v>
      </c>
    </row>
    <row r="190" spans="1:12">
      <c r="A190" s="19">
        <v>45549</v>
      </c>
      <c r="B190" s="27"/>
      <c r="C190" s="16"/>
      <c r="D190" s="16"/>
      <c r="E190" s="16"/>
      <c r="F190" s="16"/>
      <c r="G190" s="16"/>
      <c r="H190" s="16"/>
      <c r="I190" s="16">
        <v>-22.29</v>
      </c>
      <c r="J190" s="16"/>
      <c r="K190" s="16" t="s">
        <v>26</v>
      </c>
      <c r="L190" s="18"/>
    </row>
    <row r="191" spans="1:12">
      <c r="A191" s="19">
        <v>45553</v>
      </c>
      <c r="B191" s="27"/>
      <c r="C191" s="16"/>
      <c r="D191" s="16"/>
      <c r="E191" s="16"/>
      <c r="F191" s="16"/>
      <c r="G191" s="16"/>
      <c r="H191" s="16"/>
      <c r="I191" s="16">
        <v>-54600</v>
      </c>
      <c r="J191" s="16"/>
      <c r="K191" s="16" t="s">
        <v>26</v>
      </c>
      <c r="L191" s="18" t="s">
        <v>173</v>
      </c>
    </row>
    <row r="192" spans="1:12">
      <c r="A192" s="19">
        <v>45553</v>
      </c>
      <c r="B192" s="27"/>
      <c r="C192" s="16"/>
      <c r="D192" s="16"/>
      <c r="E192" s="16"/>
      <c r="F192" s="16"/>
      <c r="G192" s="16"/>
      <c r="H192" s="16"/>
      <c r="I192" s="16">
        <v>-40000</v>
      </c>
      <c r="J192" s="16"/>
      <c r="K192" s="16" t="s">
        <v>26</v>
      </c>
      <c r="L192" s="18" t="s">
        <v>173</v>
      </c>
    </row>
    <row r="193" spans="1:12">
      <c r="A193" s="19">
        <v>45553</v>
      </c>
      <c r="B193" s="27"/>
      <c r="C193" s="16"/>
      <c r="D193" s="16"/>
      <c r="E193" s="16"/>
      <c r="F193" s="16"/>
      <c r="G193" s="16"/>
      <c r="H193" s="16"/>
      <c r="I193" s="16">
        <v>-5600</v>
      </c>
      <c r="J193" s="16"/>
      <c r="K193" s="16" t="s">
        <v>26</v>
      </c>
      <c r="L193" s="18" t="s">
        <v>174</v>
      </c>
    </row>
    <row r="194" spans="1:12">
      <c r="A194" s="19">
        <v>45553</v>
      </c>
      <c r="B194" s="27"/>
      <c r="C194" s="16"/>
      <c r="D194" s="16"/>
      <c r="E194" s="16"/>
      <c r="F194" s="16"/>
      <c r="G194" s="16"/>
      <c r="H194" s="16"/>
      <c r="I194" s="16">
        <v>-50</v>
      </c>
      <c r="J194" s="16"/>
      <c r="K194" s="16" t="s">
        <v>26</v>
      </c>
      <c r="L194" s="18" t="s">
        <v>175</v>
      </c>
    </row>
    <row r="195" spans="1:12">
      <c r="A195" s="19">
        <v>45553</v>
      </c>
      <c r="B195" s="27"/>
      <c r="C195" s="16"/>
      <c r="D195" s="16"/>
      <c r="E195" s="16"/>
      <c r="F195" s="16"/>
      <c r="G195" s="16"/>
      <c r="H195" s="16"/>
      <c r="I195" s="16">
        <v>-61800</v>
      </c>
      <c r="J195" s="16"/>
      <c r="K195" s="16" t="s">
        <v>26</v>
      </c>
      <c r="L195" s="18" t="s">
        <v>176</v>
      </c>
    </row>
    <row r="196" spans="1:12">
      <c r="A196" s="19">
        <v>45553</v>
      </c>
      <c r="B196" s="27"/>
      <c r="C196" s="16"/>
      <c r="D196" s="16"/>
      <c r="E196" s="16"/>
      <c r="F196" s="16"/>
      <c r="G196" s="16"/>
      <c r="H196" s="16"/>
      <c r="I196" s="16">
        <v>-16750</v>
      </c>
      <c r="J196" s="16"/>
      <c r="K196" s="16" t="s">
        <v>26</v>
      </c>
      <c r="L196" s="18" t="s">
        <v>177</v>
      </c>
    </row>
    <row r="197" spans="1:12">
      <c r="A197" s="19">
        <v>45553</v>
      </c>
      <c r="B197" s="27"/>
      <c r="C197" s="16"/>
      <c r="D197" s="16"/>
      <c r="E197" s="16"/>
      <c r="F197" s="16"/>
      <c r="G197" s="16"/>
      <c r="H197" s="16"/>
      <c r="I197" s="16">
        <v>-5000</v>
      </c>
      <c r="J197" s="16"/>
      <c r="K197" s="16" t="s">
        <v>26</v>
      </c>
      <c r="L197" s="18" t="s">
        <v>178</v>
      </c>
    </row>
    <row r="198" spans="1:12">
      <c r="A198" s="19">
        <v>45553</v>
      </c>
      <c r="B198" s="27"/>
      <c r="C198" s="16"/>
      <c r="D198" s="16"/>
      <c r="E198" s="16"/>
      <c r="F198" s="16"/>
      <c r="G198" s="16"/>
      <c r="H198" s="16"/>
      <c r="I198" s="16">
        <v>-12000</v>
      </c>
      <c r="J198" s="16"/>
      <c r="K198" s="16" t="s">
        <v>30</v>
      </c>
      <c r="L198" s="18" t="s">
        <v>179</v>
      </c>
    </row>
    <row r="199" spans="1:12">
      <c r="A199" s="19">
        <v>45554</v>
      </c>
      <c r="B199" s="27"/>
      <c r="C199" s="16"/>
      <c r="D199" s="16"/>
      <c r="E199" s="16"/>
      <c r="F199" s="16"/>
      <c r="G199" s="16"/>
      <c r="H199" s="16"/>
      <c r="I199" s="16">
        <v>-750</v>
      </c>
      <c r="J199" s="16"/>
      <c r="K199" s="16" t="s">
        <v>26</v>
      </c>
      <c r="L199" s="18" t="s">
        <v>180</v>
      </c>
    </row>
    <row r="200" spans="1:12">
      <c r="A200" s="19">
        <v>45554</v>
      </c>
      <c r="B200" s="27"/>
      <c r="C200" s="16"/>
      <c r="D200" s="16"/>
      <c r="E200" s="16"/>
      <c r="F200" s="16"/>
      <c r="G200" s="16"/>
      <c r="H200" s="16"/>
      <c r="I200" s="16">
        <v>-150</v>
      </c>
      <c r="J200" s="16"/>
      <c r="K200" s="16" t="s">
        <v>26</v>
      </c>
      <c r="L200" s="18" t="s">
        <v>181</v>
      </c>
    </row>
    <row r="201" spans="1:12">
      <c r="A201" s="19">
        <v>45554</v>
      </c>
      <c r="B201" s="27"/>
      <c r="C201" s="16"/>
      <c r="D201" s="16"/>
      <c r="E201" s="16"/>
      <c r="F201" s="16"/>
      <c r="G201" s="16"/>
      <c r="H201" s="16"/>
      <c r="I201" s="16">
        <v>-1200</v>
      </c>
      <c r="J201" s="16"/>
      <c r="K201" s="16" t="s">
        <v>26</v>
      </c>
      <c r="L201" s="18" t="s">
        <v>182</v>
      </c>
    </row>
    <row r="202" spans="1:12">
      <c r="A202" s="19">
        <v>45554</v>
      </c>
      <c r="B202" s="27"/>
      <c r="C202" s="16"/>
      <c r="D202" s="16"/>
      <c r="E202" s="16"/>
      <c r="F202" s="16"/>
      <c r="G202" s="16"/>
      <c r="H202" s="16"/>
      <c r="I202" s="16">
        <v>-48.89</v>
      </c>
      <c r="J202" s="16"/>
      <c r="K202" s="16" t="s">
        <v>26</v>
      </c>
      <c r="L202" s="18" t="s">
        <v>183</v>
      </c>
    </row>
    <row r="203" spans="1:12">
      <c r="A203" s="19">
        <v>45555</v>
      </c>
      <c r="B203" s="27"/>
      <c r="C203" s="16"/>
      <c r="D203" s="16"/>
      <c r="E203" s="16"/>
      <c r="F203" s="16"/>
      <c r="G203" s="16"/>
      <c r="H203" s="16"/>
      <c r="I203" s="16">
        <v>-1600</v>
      </c>
      <c r="J203" s="16"/>
      <c r="K203" s="16" t="s">
        <v>26</v>
      </c>
      <c r="L203" s="18" t="s">
        <v>184</v>
      </c>
    </row>
    <row r="204" spans="1:12">
      <c r="A204" s="19">
        <v>45555</v>
      </c>
      <c r="B204" s="27"/>
      <c r="C204" s="16"/>
      <c r="D204" s="16"/>
      <c r="E204" s="16"/>
      <c r="F204" s="16"/>
      <c r="G204" s="16"/>
      <c r="H204" s="16"/>
      <c r="I204" s="16">
        <v>-1465</v>
      </c>
      <c r="J204" s="16"/>
      <c r="K204" s="16" t="s">
        <v>30</v>
      </c>
      <c r="L204" s="18" t="s">
        <v>185</v>
      </c>
    </row>
    <row r="205" spans="1:12">
      <c r="A205" s="19">
        <v>45555</v>
      </c>
      <c r="B205" s="27"/>
      <c r="C205" s="16"/>
      <c r="D205" s="16"/>
      <c r="E205" s="16"/>
      <c r="F205" s="16"/>
      <c r="G205" s="16"/>
      <c r="H205" s="16"/>
      <c r="I205" s="16">
        <v>-3255</v>
      </c>
      <c r="J205" s="16"/>
      <c r="K205" s="16" t="s">
        <v>30</v>
      </c>
      <c r="L205" s="18" t="s">
        <v>186</v>
      </c>
    </row>
    <row r="206" spans="1:12">
      <c r="A206" s="19">
        <v>45566</v>
      </c>
      <c r="B206" s="27"/>
      <c r="C206" s="16"/>
      <c r="D206" s="16"/>
      <c r="E206" s="16"/>
      <c r="F206" s="16"/>
      <c r="G206" s="16"/>
      <c r="H206" s="16"/>
      <c r="I206" s="16">
        <v>-4168</v>
      </c>
      <c r="J206" s="16"/>
      <c r="K206" s="16" t="s">
        <v>26</v>
      </c>
      <c r="L206" s="18" t="s">
        <v>187</v>
      </c>
    </row>
    <row r="207" spans="1:12">
      <c r="A207" s="19">
        <v>45578</v>
      </c>
      <c r="B207" s="27"/>
      <c r="C207" s="16"/>
      <c r="D207" s="16"/>
      <c r="E207" s="16"/>
      <c r="F207" s="16"/>
      <c r="G207" s="16"/>
      <c r="H207" s="16"/>
      <c r="I207" s="16">
        <v>-3000</v>
      </c>
      <c r="J207" s="16"/>
      <c r="K207" s="16" t="s">
        <v>30</v>
      </c>
      <c r="L207" s="18" t="s">
        <v>169</v>
      </c>
    </row>
    <row r="208" spans="1:12">
      <c r="A208" s="19">
        <v>45581</v>
      </c>
      <c r="B208" s="27"/>
      <c r="C208" s="16"/>
      <c r="D208" s="16"/>
      <c r="E208" s="16"/>
      <c r="F208" s="16"/>
      <c r="G208" s="16"/>
      <c r="H208" s="16"/>
      <c r="I208" s="16">
        <v>-124948.2</v>
      </c>
      <c r="J208" s="16"/>
      <c r="K208" s="16" t="s">
        <v>30</v>
      </c>
      <c r="L208" s="18" t="s">
        <v>188</v>
      </c>
    </row>
    <row r="209" spans="1:12">
      <c r="A209" s="19">
        <v>45582</v>
      </c>
      <c r="B209" s="27"/>
      <c r="C209" s="16"/>
      <c r="D209" s="16"/>
      <c r="E209" s="16"/>
      <c r="F209" s="16"/>
      <c r="G209" s="16"/>
      <c r="H209" s="16"/>
      <c r="I209" s="16">
        <v>-65</v>
      </c>
      <c r="J209" s="16"/>
      <c r="K209" s="16" t="s">
        <v>26</v>
      </c>
      <c r="L209" s="18" t="s">
        <v>189</v>
      </c>
    </row>
    <row r="210" spans="1:12">
      <c r="A210" s="19">
        <v>45582</v>
      </c>
      <c r="B210" s="27"/>
      <c r="C210" s="16"/>
      <c r="D210" s="16"/>
      <c r="E210" s="16"/>
      <c r="F210" s="16"/>
      <c r="G210" s="16"/>
      <c r="H210" s="16"/>
      <c r="I210" s="16">
        <v>-34.69</v>
      </c>
      <c r="J210" s="16"/>
      <c r="K210" s="16" t="s">
        <v>26</v>
      </c>
      <c r="L210" s="18" t="s">
        <v>190</v>
      </c>
    </row>
    <row r="211" spans="1:12">
      <c r="A211" s="19">
        <v>45582</v>
      </c>
      <c r="B211" s="27"/>
      <c r="C211" s="16"/>
      <c r="D211" s="16"/>
      <c r="E211" s="16"/>
      <c r="F211" s="16"/>
      <c r="G211" s="16"/>
      <c r="H211" s="16"/>
      <c r="I211" s="16">
        <v>-236</v>
      </c>
      <c r="J211" s="16"/>
      <c r="K211" s="16" t="s">
        <v>26</v>
      </c>
      <c r="L211" s="18" t="s">
        <v>191</v>
      </c>
    </row>
    <row r="212" spans="1:12">
      <c r="A212" s="19">
        <v>45587</v>
      </c>
      <c r="B212" s="27"/>
      <c r="C212" s="16"/>
      <c r="D212" s="16"/>
      <c r="E212" s="16"/>
      <c r="F212" s="16"/>
      <c r="G212" s="16"/>
      <c r="H212" s="16"/>
      <c r="I212" s="16">
        <v>-5000</v>
      </c>
      <c r="J212" s="16"/>
      <c r="K212" s="16" t="s">
        <v>30</v>
      </c>
      <c r="L212" s="18" t="s">
        <v>31</v>
      </c>
    </row>
    <row r="213" spans="1:12">
      <c r="A213" s="19">
        <v>45587</v>
      </c>
      <c r="B213" s="27"/>
      <c r="C213" s="16"/>
      <c r="D213" s="16"/>
      <c r="E213" s="16"/>
      <c r="F213" s="16"/>
      <c r="G213" s="16"/>
      <c r="H213" s="16"/>
      <c r="I213" s="16">
        <v>-3255</v>
      </c>
      <c r="J213" s="16"/>
      <c r="K213" s="16" t="s">
        <v>30</v>
      </c>
      <c r="L213" s="18" t="s">
        <v>192</v>
      </c>
    </row>
    <row r="214" spans="1:12">
      <c r="A214" s="19">
        <v>45587</v>
      </c>
      <c r="B214" s="27"/>
      <c r="C214" s="16"/>
      <c r="D214" s="16"/>
      <c r="E214" s="16"/>
      <c r="F214" s="16"/>
      <c r="G214" s="16"/>
      <c r="H214" s="16"/>
      <c r="I214" s="16">
        <v>-149620</v>
      </c>
      <c r="J214" s="16"/>
      <c r="K214" s="16" t="s">
        <v>37</v>
      </c>
      <c r="L214" s="18" t="s">
        <v>193</v>
      </c>
    </row>
    <row r="215" spans="1:12">
      <c r="A215" s="19">
        <v>45593</v>
      </c>
      <c r="B215" s="27"/>
      <c r="C215" s="16"/>
      <c r="D215" s="16"/>
      <c r="E215" s="16"/>
      <c r="F215" s="16"/>
      <c r="G215" s="16"/>
      <c r="H215" s="16"/>
      <c r="I215" s="16">
        <v>-13560</v>
      </c>
      <c r="J215" s="16"/>
      <c r="K215" s="16" t="s">
        <v>26</v>
      </c>
      <c r="L215" s="18" t="s">
        <v>194</v>
      </c>
    </row>
    <row r="216" spans="1:12">
      <c r="A216" s="19">
        <v>45594</v>
      </c>
      <c r="B216" s="27"/>
      <c r="C216" s="16"/>
      <c r="D216" s="16"/>
      <c r="E216" s="16"/>
      <c r="F216" s="16"/>
      <c r="G216" s="16"/>
      <c r="H216" s="16"/>
      <c r="I216" s="16">
        <v>-6391</v>
      </c>
      <c r="J216" s="16"/>
      <c r="K216" s="16" t="s">
        <v>26</v>
      </c>
      <c r="L216" s="18" t="s">
        <v>195</v>
      </c>
    </row>
    <row r="217" spans="1:12">
      <c r="A217" s="19">
        <v>45594</v>
      </c>
      <c r="B217" s="27"/>
      <c r="C217" s="16"/>
      <c r="D217" s="16"/>
      <c r="E217" s="16"/>
      <c r="F217" s="16"/>
      <c r="G217" s="16"/>
      <c r="H217" s="16"/>
      <c r="I217" s="16">
        <v>-271</v>
      </c>
      <c r="J217" s="16"/>
      <c r="K217" s="16" t="s">
        <v>26</v>
      </c>
      <c r="L217" s="18" t="s">
        <v>196</v>
      </c>
    </row>
    <row r="218" spans="1:12">
      <c r="A218" s="19">
        <v>45594</v>
      </c>
      <c r="B218" s="27"/>
      <c r="C218" s="16"/>
      <c r="D218" s="16"/>
      <c r="E218" s="16"/>
      <c r="F218" s="16"/>
      <c r="G218" s="16"/>
      <c r="H218" s="16"/>
      <c r="I218" s="16">
        <v>-5850</v>
      </c>
      <c r="J218" s="16"/>
      <c r="K218" s="16" t="s">
        <v>26</v>
      </c>
      <c r="L218" s="18" t="s">
        <v>197</v>
      </c>
    </row>
    <row r="219" spans="1:12">
      <c r="A219" s="19">
        <v>45594</v>
      </c>
      <c r="B219" s="27"/>
      <c r="C219" s="16"/>
      <c r="D219" s="16"/>
      <c r="E219" s="16"/>
      <c r="F219" s="16"/>
      <c r="G219" s="16"/>
      <c r="H219" s="16"/>
      <c r="I219" s="16">
        <v>-4860</v>
      </c>
      <c r="J219" s="16"/>
      <c r="K219" s="16" t="s">
        <v>26</v>
      </c>
      <c r="L219" s="18" t="s">
        <v>198</v>
      </c>
    </row>
    <row r="220" spans="1:12">
      <c r="A220" s="19">
        <v>45594</v>
      </c>
      <c r="B220" s="27"/>
      <c r="C220" s="16"/>
      <c r="D220" s="16"/>
      <c r="E220" s="16"/>
      <c r="F220" s="16"/>
      <c r="G220" s="16"/>
      <c r="H220" s="16"/>
      <c r="I220" s="16">
        <v>-2800</v>
      </c>
      <c r="J220" s="16"/>
      <c r="K220" s="16" t="s">
        <v>26</v>
      </c>
      <c r="L220" s="18" t="s">
        <v>199</v>
      </c>
    </row>
    <row r="221" spans="1:12">
      <c r="A221" s="19">
        <v>45594</v>
      </c>
      <c r="B221" s="27"/>
      <c r="C221" s="16"/>
      <c r="D221" s="16"/>
      <c r="E221" s="16"/>
      <c r="F221" s="16"/>
      <c r="G221" s="16"/>
      <c r="H221" s="16"/>
      <c r="I221" s="16">
        <v>-1600</v>
      </c>
      <c r="J221" s="16"/>
      <c r="K221" s="16" t="s">
        <v>26</v>
      </c>
      <c r="L221" s="18" t="s">
        <v>200</v>
      </c>
    </row>
    <row r="222" spans="1:12">
      <c r="A222" s="19">
        <v>45608</v>
      </c>
      <c r="B222" s="27"/>
      <c r="C222" s="16"/>
      <c r="D222" s="16"/>
      <c r="E222" s="16"/>
      <c r="F222" s="16"/>
      <c r="G222" s="16"/>
      <c r="H222" s="16"/>
      <c r="I222" s="16">
        <v>-100</v>
      </c>
      <c r="J222" s="16"/>
      <c r="K222" s="16" t="s">
        <v>26</v>
      </c>
      <c r="L222" s="18" t="s">
        <v>201</v>
      </c>
    </row>
    <row r="223" spans="1:12">
      <c r="A223" s="19">
        <v>45608</v>
      </c>
      <c r="B223" s="27"/>
      <c r="C223" s="16"/>
      <c r="D223" s="16"/>
      <c r="E223" s="16"/>
      <c r="F223" s="16"/>
      <c r="G223" s="16"/>
      <c r="H223" s="16"/>
      <c r="I223" s="16">
        <v>-486</v>
      </c>
      <c r="J223" s="16"/>
      <c r="K223" s="16" t="s">
        <v>26</v>
      </c>
      <c r="L223" s="18" t="s">
        <v>202</v>
      </c>
    </row>
    <row r="224" spans="1:12">
      <c r="A224" s="19">
        <v>45613</v>
      </c>
      <c r="B224" s="27"/>
      <c r="C224" s="16"/>
      <c r="D224" s="16"/>
      <c r="E224" s="16"/>
      <c r="F224" s="16"/>
      <c r="G224" s="16"/>
      <c r="H224" s="16"/>
      <c r="I224" s="16">
        <v>-900</v>
      </c>
      <c r="J224" s="16"/>
      <c r="K224" s="16" t="s">
        <v>26</v>
      </c>
      <c r="L224" s="18" t="s">
        <v>203</v>
      </c>
    </row>
    <row r="225" spans="1:12">
      <c r="A225" s="19">
        <v>45614</v>
      </c>
      <c r="B225" s="27"/>
      <c r="C225" s="16"/>
      <c r="D225" s="16"/>
      <c r="E225" s="16"/>
      <c r="F225" s="16"/>
      <c r="G225" s="16"/>
      <c r="H225" s="16"/>
      <c r="I225" s="16">
        <v>-900</v>
      </c>
      <c r="J225" s="16"/>
      <c r="K225" s="16" t="s">
        <v>37</v>
      </c>
      <c r="L225" s="18" t="s">
        <v>204</v>
      </c>
    </row>
    <row r="226" spans="1:12">
      <c r="A226" s="19">
        <v>45614</v>
      </c>
      <c r="B226" s="27"/>
      <c r="C226" s="16"/>
      <c r="D226" s="16"/>
      <c r="E226" s="16"/>
      <c r="F226" s="16"/>
      <c r="G226" s="16"/>
      <c r="H226" s="16"/>
      <c r="I226" s="16">
        <v>-14000</v>
      </c>
      <c r="J226" s="16"/>
      <c r="K226" s="16" t="s">
        <v>37</v>
      </c>
      <c r="L226" s="18" t="s">
        <v>205</v>
      </c>
    </row>
    <row r="227" spans="1:12">
      <c r="A227" s="19">
        <v>45614</v>
      </c>
      <c r="B227" s="27"/>
      <c r="C227" s="16"/>
      <c r="D227" s="16"/>
      <c r="E227" s="16"/>
      <c r="F227" s="16"/>
      <c r="G227" s="16"/>
      <c r="H227" s="16"/>
      <c r="I227" s="16">
        <v>-87200</v>
      </c>
      <c r="J227" s="16"/>
      <c r="K227" s="16" t="s">
        <v>37</v>
      </c>
      <c r="L227" s="18" t="s">
        <v>206</v>
      </c>
    </row>
    <row r="228" spans="1:12">
      <c r="A228" s="19">
        <v>45614</v>
      </c>
      <c r="B228" s="27"/>
      <c r="C228" s="16"/>
      <c r="D228" s="16"/>
      <c r="E228" s="16"/>
      <c r="F228" s="16"/>
      <c r="G228" s="16"/>
      <c r="H228" s="16"/>
      <c r="I228" s="16">
        <v>-5080</v>
      </c>
      <c r="J228" s="16"/>
      <c r="K228" s="16" t="s">
        <v>37</v>
      </c>
      <c r="L228" s="18" t="s">
        <v>207</v>
      </c>
    </row>
    <row r="229" spans="1:12">
      <c r="A229" s="19">
        <v>45614</v>
      </c>
      <c r="B229" s="27"/>
      <c r="C229" s="16"/>
      <c r="D229" s="16"/>
      <c r="E229" s="16"/>
      <c r="F229" s="16"/>
      <c r="G229" s="16"/>
      <c r="H229" s="16"/>
      <c r="I229" s="16">
        <v>-3272.29</v>
      </c>
      <c r="J229" s="16"/>
      <c r="K229" s="16" t="s">
        <v>30</v>
      </c>
      <c r="L229" s="18" t="s">
        <v>208</v>
      </c>
    </row>
    <row r="230" spans="1:12">
      <c r="A230" s="19">
        <v>45614</v>
      </c>
      <c r="B230" s="27"/>
      <c r="C230" s="16"/>
      <c r="D230" s="16"/>
      <c r="E230" s="16"/>
      <c r="F230" s="16"/>
      <c r="G230" s="16"/>
      <c r="H230" s="16"/>
      <c r="I230" s="16">
        <v>-200</v>
      </c>
      <c r="J230" s="16"/>
      <c r="K230" s="16" t="s">
        <v>37</v>
      </c>
      <c r="L230" s="18" t="s">
        <v>209</v>
      </c>
    </row>
    <row r="231" spans="1:12">
      <c r="A231" s="19">
        <v>45614</v>
      </c>
      <c r="B231" s="27"/>
      <c r="C231" s="16"/>
      <c r="D231" s="16"/>
      <c r="E231" s="16"/>
      <c r="F231" s="16"/>
      <c r="G231" s="16"/>
      <c r="H231" s="16"/>
      <c r="I231" s="16">
        <v>-1000</v>
      </c>
      <c r="J231" s="16"/>
      <c r="K231" s="16" t="s">
        <v>37</v>
      </c>
      <c r="L231" s="18" t="s">
        <v>209</v>
      </c>
    </row>
    <row r="232" spans="1:12">
      <c r="A232" s="19">
        <v>45614</v>
      </c>
      <c r="B232" s="27"/>
      <c r="C232" s="16"/>
      <c r="D232" s="16"/>
      <c r="E232" s="16"/>
      <c r="F232" s="16"/>
      <c r="G232" s="16"/>
      <c r="H232" s="16"/>
      <c r="I232" s="16">
        <v>-5000</v>
      </c>
      <c r="J232" s="16"/>
      <c r="K232" s="16" t="s">
        <v>30</v>
      </c>
      <c r="L232" s="18" t="s">
        <v>31</v>
      </c>
    </row>
    <row r="233" spans="1:12">
      <c r="A233" s="19">
        <v>45615</v>
      </c>
      <c r="B233" s="27"/>
      <c r="C233" s="16"/>
      <c r="D233" s="16"/>
      <c r="E233" s="16"/>
      <c r="F233" s="16"/>
      <c r="G233" s="16"/>
      <c r="H233" s="16"/>
      <c r="I233" s="16">
        <v>1600</v>
      </c>
      <c r="J233" s="16"/>
      <c r="K233" s="16" t="s">
        <v>37</v>
      </c>
      <c r="L233" s="18" t="s">
        <v>210</v>
      </c>
    </row>
    <row r="234" spans="1:12">
      <c r="A234" s="19">
        <v>45615</v>
      </c>
      <c r="B234" s="27"/>
      <c r="C234" s="16"/>
      <c r="D234" s="16"/>
      <c r="E234" s="16"/>
      <c r="F234" s="16"/>
      <c r="G234" s="16"/>
      <c r="H234" s="16"/>
      <c r="I234" s="16">
        <v>-1200</v>
      </c>
      <c r="J234" s="16"/>
      <c r="K234" s="16" t="s">
        <v>30</v>
      </c>
      <c r="L234" s="18" t="s">
        <v>211</v>
      </c>
    </row>
    <row r="235" spans="1:12">
      <c r="A235" s="19">
        <v>45617</v>
      </c>
      <c r="B235" s="27"/>
      <c r="C235" s="16"/>
      <c r="D235" s="16"/>
      <c r="E235" s="16"/>
      <c r="F235" s="16"/>
      <c r="G235" s="16"/>
      <c r="H235" s="16"/>
      <c r="I235" s="16">
        <v>-13500</v>
      </c>
      <c r="J235" s="16"/>
      <c r="K235" s="16" t="s">
        <v>26</v>
      </c>
      <c r="L235" s="18" t="s">
        <v>212</v>
      </c>
    </row>
    <row r="236" spans="1:12">
      <c r="A236" s="19">
        <v>45618</v>
      </c>
      <c r="B236" s="27"/>
      <c r="C236" s="16"/>
      <c r="D236" s="16"/>
      <c r="E236" s="16"/>
      <c r="F236" s="16"/>
      <c r="G236" s="16"/>
      <c r="H236" s="16"/>
      <c r="I236" s="16">
        <v>-500</v>
      </c>
      <c r="J236" s="16"/>
      <c r="K236" s="16" t="s">
        <v>30</v>
      </c>
      <c r="L236" s="18" t="s">
        <v>213</v>
      </c>
    </row>
    <row r="237" spans="1:12">
      <c r="A237" s="19">
        <v>45621</v>
      </c>
      <c r="B237" s="27"/>
      <c r="C237" s="16"/>
      <c r="D237" s="16"/>
      <c r="E237" s="16"/>
      <c r="F237" s="16"/>
      <c r="G237" s="16"/>
      <c r="H237" s="16"/>
      <c r="I237" s="16">
        <v>-500</v>
      </c>
      <c r="J237" s="16"/>
      <c r="K237" s="16" t="s">
        <v>30</v>
      </c>
      <c r="L237" s="18" t="s">
        <v>213</v>
      </c>
    </row>
    <row r="238" spans="1:12">
      <c r="A238" s="19">
        <v>45621</v>
      </c>
      <c r="B238" s="27"/>
      <c r="C238" s="16"/>
      <c r="D238" s="16"/>
      <c r="E238" s="16"/>
      <c r="F238" s="16"/>
      <c r="G238" s="16"/>
      <c r="H238" s="16"/>
      <c r="I238" s="16">
        <v>-19.86</v>
      </c>
      <c r="J238" s="16"/>
      <c r="K238" s="16" t="s">
        <v>26</v>
      </c>
      <c r="L238" s="18" t="s">
        <v>214</v>
      </c>
    </row>
    <row r="239" spans="1:12">
      <c r="A239" s="19">
        <v>45623</v>
      </c>
      <c r="B239" s="27"/>
      <c r="C239" s="16"/>
      <c r="D239" s="16"/>
      <c r="E239" s="16"/>
      <c r="F239" s="16"/>
      <c r="G239" s="16"/>
      <c r="H239" s="16"/>
      <c r="I239" s="16">
        <v>-157</v>
      </c>
      <c r="J239" s="16"/>
      <c r="K239" s="16" t="s">
        <v>26</v>
      </c>
      <c r="L239" s="18" t="s">
        <v>215</v>
      </c>
    </row>
    <row r="240" spans="1:12">
      <c r="A240" s="19">
        <v>45623</v>
      </c>
      <c r="B240" s="27"/>
      <c r="C240" s="16"/>
      <c r="D240" s="16"/>
      <c r="E240" s="16"/>
      <c r="F240" s="16"/>
      <c r="G240" s="16"/>
      <c r="H240" s="16"/>
      <c r="I240" s="16">
        <v>-17.399999999999999</v>
      </c>
      <c r="J240" s="16"/>
      <c r="K240" s="16" t="s">
        <v>26</v>
      </c>
      <c r="L240" s="18" t="s">
        <v>216</v>
      </c>
    </row>
    <row r="241" spans="1:12">
      <c r="A241" s="19">
        <v>45623</v>
      </c>
      <c r="B241" s="27"/>
      <c r="C241" s="16"/>
      <c r="D241" s="16"/>
      <c r="E241" s="16"/>
      <c r="F241" s="16"/>
      <c r="G241" s="16"/>
      <c r="H241" s="16"/>
      <c r="I241" s="16">
        <v>-500</v>
      </c>
      <c r="J241" s="16"/>
      <c r="K241" s="16" t="s">
        <v>26</v>
      </c>
      <c r="L241" s="18" t="s">
        <v>217</v>
      </c>
    </row>
    <row r="242" spans="1:12">
      <c r="A242" s="19">
        <v>45623</v>
      </c>
      <c r="B242" s="27"/>
      <c r="C242" s="16"/>
      <c r="D242" s="16"/>
      <c r="E242" s="16"/>
      <c r="F242" s="16"/>
      <c r="G242" s="16"/>
      <c r="H242" s="16"/>
      <c r="I242" s="16">
        <v>-300</v>
      </c>
      <c r="J242" s="16"/>
      <c r="K242" s="16" t="s">
        <v>26</v>
      </c>
      <c r="L242" s="18" t="s">
        <v>218</v>
      </c>
    </row>
    <row r="243" spans="1:12">
      <c r="A243" s="19">
        <v>45624</v>
      </c>
      <c r="B243" s="27"/>
      <c r="C243" s="16"/>
      <c r="D243" s="16"/>
      <c r="E243" s="16"/>
      <c r="F243" s="16"/>
      <c r="G243" s="16"/>
      <c r="H243" s="16"/>
      <c r="I243" s="16">
        <v>-400</v>
      </c>
      <c r="J243" s="16"/>
      <c r="K243" s="16" t="s">
        <v>26</v>
      </c>
      <c r="L243" s="18" t="s">
        <v>219</v>
      </c>
    </row>
    <row r="244" spans="1:12">
      <c r="A244" s="19">
        <v>45628</v>
      </c>
      <c r="B244" s="27"/>
      <c r="C244" s="16"/>
      <c r="D244" s="16"/>
      <c r="E244" s="16"/>
      <c r="F244" s="16"/>
      <c r="G244" s="16"/>
      <c r="H244" s="16"/>
      <c r="I244" s="16">
        <v>-200</v>
      </c>
      <c r="J244" s="16"/>
      <c r="K244" s="16" t="s">
        <v>30</v>
      </c>
      <c r="L244" s="18" t="s">
        <v>101</v>
      </c>
    </row>
    <row r="245" spans="1:12">
      <c r="A245" s="19">
        <v>45628</v>
      </c>
      <c r="B245" s="27"/>
      <c r="C245" s="16"/>
      <c r="D245" s="16"/>
      <c r="E245" s="16"/>
      <c r="F245" s="16"/>
      <c r="G245" s="16"/>
      <c r="H245" s="16"/>
      <c r="I245" s="16">
        <v>-1100</v>
      </c>
      <c r="J245" s="16"/>
      <c r="K245" s="16" t="s">
        <v>30</v>
      </c>
      <c r="L245" s="18" t="s">
        <v>220</v>
      </c>
    </row>
    <row r="246" spans="1:12">
      <c r="A246" s="19">
        <v>45629</v>
      </c>
      <c r="B246" s="27"/>
      <c r="C246" s="16"/>
      <c r="D246" s="16"/>
      <c r="E246" s="16"/>
      <c r="F246" s="16"/>
      <c r="G246" s="16"/>
      <c r="H246" s="16"/>
      <c r="I246" s="16">
        <v>-141</v>
      </c>
      <c r="J246" s="16"/>
      <c r="K246" s="16" t="s">
        <v>26</v>
      </c>
      <c r="L246" s="18" t="s">
        <v>221</v>
      </c>
    </row>
    <row r="247" spans="1:12">
      <c r="A247" s="19">
        <v>45636</v>
      </c>
      <c r="B247" s="27"/>
      <c r="C247" s="16"/>
      <c r="D247" s="16"/>
      <c r="E247" s="16"/>
      <c r="F247" s="16"/>
      <c r="G247" s="16"/>
      <c r="H247" s="16"/>
      <c r="I247" s="16">
        <v>-36.950000000000003</v>
      </c>
      <c r="J247" s="16"/>
      <c r="K247" s="16" t="s">
        <v>26</v>
      </c>
      <c r="L247" s="18" t="s">
        <v>222</v>
      </c>
    </row>
    <row r="248" spans="1:12">
      <c r="A248" s="19">
        <v>45638</v>
      </c>
      <c r="B248" s="27"/>
      <c r="C248" s="16"/>
      <c r="D248" s="16"/>
      <c r="E248" s="16"/>
      <c r="F248" s="16"/>
      <c r="G248" s="16"/>
      <c r="H248" s="16"/>
      <c r="I248" s="16">
        <v>-600</v>
      </c>
      <c r="J248" s="16"/>
      <c r="K248" s="16" t="s">
        <v>26</v>
      </c>
      <c r="L248" s="18" t="s">
        <v>223</v>
      </c>
    </row>
    <row r="249" spans="1:12">
      <c r="A249" s="19">
        <v>45642</v>
      </c>
      <c r="B249" s="27"/>
      <c r="C249" s="16"/>
      <c r="D249" s="16"/>
      <c r="E249" s="16"/>
      <c r="F249" s="16"/>
      <c r="G249" s="16"/>
      <c r="H249" s="16"/>
      <c r="I249" s="16">
        <v>-102240</v>
      </c>
      <c r="J249" s="16"/>
      <c r="K249" s="16" t="s">
        <v>30</v>
      </c>
      <c r="L249" s="18" t="s">
        <v>224</v>
      </c>
    </row>
    <row r="250" spans="1:12">
      <c r="A250" s="19">
        <v>45642</v>
      </c>
      <c r="B250" s="27"/>
      <c r="C250" s="16"/>
      <c r="D250" s="16"/>
      <c r="E250" s="16"/>
      <c r="F250" s="16"/>
      <c r="G250" s="16"/>
      <c r="H250" s="16"/>
      <c r="I250" s="16">
        <v>-2809</v>
      </c>
      <c r="J250" s="16"/>
      <c r="K250" s="16" t="s">
        <v>30</v>
      </c>
      <c r="L250" s="18" t="s">
        <v>225</v>
      </c>
    </row>
    <row r="251" spans="1:12">
      <c r="A251" s="19">
        <v>45642</v>
      </c>
      <c r="B251" s="27"/>
      <c r="C251" s="16"/>
      <c r="D251" s="16"/>
      <c r="E251" s="16"/>
      <c r="F251" s="16"/>
      <c r="G251" s="16"/>
      <c r="H251" s="16"/>
      <c r="I251" s="16">
        <v>-5000</v>
      </c>
      <c r="J251" s="16"/>
      <c r="K251" s="16" t="s">
        <v>30</v>
      </c>
      <c r="L251" s="18"/>
    </row>
    <row r="252" spans="1:12">
      <c r="A252" s="19">
        <v>45644</v>
      </c>
      <c r="B252" s="27"/>
      <c r="C252" s="16"/>
      <c r="D252" s="16"/>
      <c r="E252" s="16"/>
      <c r="F252" s="16"/>
      <c r="G252" s="16"/>
      <c r="H252" s="16"/>
      <c r="I252" s="16">
        <v>-1500</v>
      </c>
      <c r="J252" s="16"/>
      <c r="K252" s="16" t="s">
        <v>30</v>
      </c>
      <c r="L252" s="18" t="s">
        <v>226</v>
      </c>
    </row>
    <row r="253" spans="1:12">
      <c r="A253" s="19">
        <v>45645</v>
      </c>
      <c r="B253" s="27"/>
      <c r="C253" s="16"/>
      <c r="D253" s="16"/>
      <c r="E253" s="16"/>
      <c r="F253" s="16"/>
      <c r="G253" s="16"/>
      <c r="H253" s="16"/>
      <c r="I253" s="16">
        <v>-340</v>
      </c>
      <c r="J253" s="16"/>
      <c r="K253" s="16" t="s">
        <v>26</v>
      </c>
      <c r="L253" s="18" t="s">
        <v>227</v>
      </c>
    </row>
    <row r="254" spans="1:12">
      <c r="A254" s="19">
        <v>45645</v>
      </c>
      <c r="B254" s="27"/>
      <c r="C254" s="16"/>
      <c r="D254" s="16"/>
      <c r="E254" s="16"/>
      <c r="F254" s="16"/>
      <c r="G254" s="16"/>
      <c r="H254" s="16"/>
      <c r="I254" s="16">
        <v>-68.81</v>
      </c>
      <c r="J254" s="16"/>
      <c r="K254" s="16" t="s">
        <v>26</v>
      </c>
      <c r="L254" s="18" t="s">
        <v>228</v>
      </c>
    </row>
    <row r="255" spans="1:12">
      <c r="A255" s="19">
        <v>45645</v>
      </c>
      <c r="B255" s="27"/>
      <c r="C255" s="16"/>
      <c r="D255" s="16"/>
      <c r="E255" s="16"/>
      <c r="F255" s="16"/>
      <c r="G255" s="16"/>
      <c r="H255" s="16"/>
      <c r="I255" s="16">
        <v>-15.99</v>
      </c>
      <c r="J255" s="16"/>
      <c r="K255" s="16" t="s">
        <v>26</v>
      </c>
      <c r="L255" s="18" t="s">
        <v>229</v>
      </c>
    </row>
    <row r="256" spans="1:12">
      <c r="A256" s="19">
        <v>45657</v>
      </c>
      <c r="B256" s="27"/>
      <c r="C256" s="16"/>
      <c r="D256" s="16"/>
      <c r="E256" s="16"/>
      <c r="F256" s="16"/>
      <c r="G256" s="16"/>
      <c r="H256" s="16"/>
      <c r="I256" s="16">
        <v>-154600</v>
      </c>
      <c r="J256" s="16"/>
      <c r="K256" s="16" t="s">
        <v>26</v>
      </c>
      <c r="L256" s="18" t="s">
        <v>230</v>
      </c>
    </row>
    <row r="257" spans="1:12">
      <c r="A257" s="19">
        <v>45657</v>
      </c>
      <c r="B257" s="27"/>
      <c r="C257" s="16"/>
      <c r="D257" s="16"/>
      <c r="E257" s="16"/>
      <c r="F257" s="16"/>
      <c r="G257" s="16"/>
      <c r="H257" s="16"/>
      <c r="I257" s="16">
        <v>-62474.1</v>
      </c>
      <c r="J257" s="16"/>
      <c r="K257" s="16" t="s">
        <v>26</v>
      </c>
      <c r="L257" s="18"/>
    </row>
  </sheetData>
  <phoneticPr fontId="4" type="noConversion"/>
  <conditionalFormatting sqref="B15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楠楠 卢</cp:lastModifiedBy>
  <cp:lastPrinted>2025-05-08T03:18:42Z</cp:lastPrinted>
  <dcterms:created xsi:type="dcterms:W3CDTF">2021-08-30T06:57:00Z</dcterms:created>
  <dcterms:modified xsi:type="dcterms:W3CDTF">2026-02-13T06:15:34Z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047805E991C14214AD1C7F9CEDBE9A96</vt:lpwstr>
  </property>
  <property fmtid="{D5CDD505-2E9C-101B-9397-08002B2CF9AE}" pid="3" name="KSOProductBuildVer">
    <vt:lpwstr>2052-11.1.0.12763</vt:lpwstr>
  </property>
  <property fmtid="{D5CDD505-2E9C-101B-9397-08002B2CF9AE}" pid="4" name="KSOTemplateUUID">
    <vt:lpwstr>v1.0_mb_BJ7TLjAV3vqx/sNqk0tldg==</vt:lpwstr>
  </property>
</Properties>
</file>