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5300" activeTab="1"/>
  </bookViews>
  <sheets>
    <sheet name="旧盘" sheetId="1" r:id="rId1"/>
    <sheet name="新盘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<sst xmlns="http://schemas.openxmlformats.org/spreadsheetml/2006/main" count="61" uniqueCount="21">
  <si>
    <t>太太享物2026年1月 旧盘 运营数据汇总（含年后续约客户）</t>
  </si>
  <si>
    <t>月份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</si>
  <si>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</si>
  <si>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</si>
  <si>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</si>
  <si>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</si>
  <si>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</si>
  <si>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</si>
  <si>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</si>
  <si>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</si>
  <si>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</si>
  <si>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</si>
  <si>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</si>
  <si>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</si>
  <si>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待收金额</t>
  </si>
  <si>
    <t>实际出资</t>
  </si>
  <si>
    <t>逾期金额</t>
  </si>
  <si>
    <t>利润金额</t>
  </si>
  <si>
    <t>利润率</t>
  </si>
  <si>
    <t>太太享物2026年1月 新盘 运营数据汇总（年后新增数据）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</si>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</sst>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汉仪雅酷黑 55W"/>
      <charset val="134"/>
    </font>
    <font>
      <b/>
      <sz val="26"/>
      <color theme="1" tint="0.14996795556505"/>
      <name val="HarmonyOS Sans SC Black"/>
      <charset val="134"/>
    </font>
    <font>
      <b/>
      <sz val="12"/>
      <color theme="1"/>
      <name val="汉仪雅酷黑 55W"/>
      <charset val="134"/>
    </font>
    <font>
      <sz val="11"/>
      <color theme="1"/>
      <name val="汉仪雅酷黑 55W"/>
      <charset val="134"/>
    </font>
    <font>
      <sz val="11"/>
      <color rgb="FFFF0000"/>
      <name val="汉仪雅酷黑 55W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BECC1"/>
        <bgColor indexed="64"/>
      </patternFill>
    </fill>
    <fill>
      <patternFill patternType="solid">
        <fgColor rgb="FFFBD05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149998474074526"/>
      </left>
      <right style="thin">
        <color auto="1"/>
      </right>
      <top style="thin">
        <color theme="0" tint="-0.149998474074526"/>
      </top>
      <bottom/>
      <diagonal/>
    </border>
    <border>
      <left style="thin">
        <color auto="1"/>
      </left>
      <right style="thin">
        <color theme="0" tint="-0.149998474074526"/>
      </right>
      <top style="thin">
        <color theme="0" tint="-0.149998474074526"/>
      </top>
      <bottom/>
      <diagonal/>
    </border>
    <border>
      <left style="thin">
        <color theme="0" tint="-0.14996795556505"/>
      </left>
      <right style="thin">
        <color theme="0" tint="-0.14996795556505"/>
      </right>
      <top/>
      <bottom style="thin">
        <color theme="0" tint="-0.14996795556505"/>
      </bottom>
      <diagonal/>
    </border>
    <border>
      <left style="thin">
        <color theme="0" tint="-0.149998474074526"/>
      </left>
      <right style="thin">
        <color auto="1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auto="1"/>
      </left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/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8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3" fontId="1" fillId="0" borderId="3" xfId="0" applyNumberFormat="1" applyFont="1" applyBorder="1" applyAlignment="1">
      <alignment horizontal="center" vertical="center"/>
    </xf>
    <xf numFmtId="43" fontId="1" fillId="0" borderId="4" xfId="0" applyNumberFormat="1" applyFont="1" applyBorder="1" applyAlignment="1">
      <alignment horizontal="center" vertical="center"/>
    </xf>
    <xf numFmtId="43" fontId="4" fillId="0" borderId="5" xfId="0" applyNumberFormat="1" applyFont="1" applyBorder="1" applyAlignment="1">
      <alignment horizontal="center" vertical="center"/>
    </xf>
    <xf numFmtId="43" fontId="1" fillId="0" borderId="6" xfId="0" applyNumberFormat="1" applyFont="1" applyBorder="1" applyAlignment="1">
      <alignment horizontal="center" vertical="center"/>
    </xf>
    <xf numFmtId="43" fontId="1" fillId="0" borderId="7" xfId="0" applyNumberFormat="1" applyFont="1" applyBorder="1" applyAlignment="1">
      <alignment horizontal="center" vertical="center"/>
    </xf>
    <xf numFmtId="43" fontId="4" fillId="0" borderId="8" xfId="0" applyNumberFormat="1" applyFont="1" applyBorder="1" applyAlignment="1">
      <alignment horizontal="center" vertical="center"/>
    </xf>
    <xf numFmtId="43" fontId="4" fillId="0" borderId="8" xfId="0" applyNumberFormat="1" applyFont="1" applyBorder="1">
      <alignment vertical="center"/>
    </xf>
    <xf numFmtId="43" fontId="4" fillId="0" borderId="9" xfId="0" applyNumberFormat="1" applyFont="1" applyBorder="1" applyAlignment="1">
      <alignment horizontal="center" vertical="center"/>
    </xf>
    <xf numFmtId="10" fontId="4" fillId="0" borderId="8" xfId="3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3" fontId="4" fillId="4" borderId="5" xfId="0" applyNumberFormat="1" applyFont="1" applyFill="1" applyBorder="1" applyAlignment="1">
      <alignment horizontal="center" vertical="center"/>
    </xf>
    <xf numFmtId="43" fontId="4" fillId="4" borderId="8" xfId="0" applyNumberFormat="1" applyFont="1" applyFill="1" applyBorder="1" applyAlignment="1">
      <alignment horizontal="center" vertical="center"/>
    </xf>
    <xf numFmtId="43" fontId="5" fillId="4" borderId="8" xfId="0" applyNumberFormat="1" applyFont="1" applyFill="1" applyBorder="1" applyAlignment="1">
      <alignment horizontal="center" vertical="center"/>
    </xf>
    <xf numFmtId="43" fontId="4" fillId="4" borderId="9" xfId="0" applyNumberFormat="1" applyFont="1" applyFill="1" applyBorder="1" applyAlignment="1">
      <alignment horizontal="center" vertical="center"/>
    </xf>
    <xf numFmtId="10" fontId="4" fillId="4" borderId="8" xfId="3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BECC1"/>
      <color rgb="00FBD05F"/>
      <color rgb="00FE9156"/>
      <color rgb="00FF808B"/>
      <color rgb="00FEB179"/>
      <color rgb="00F6F5FB"/>
      <color rgb="00E8E6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旧盘!$B$7</c:f>
              <c:strCache>
                <c:ptCount val="1"/>
                <c:pt idx="0">
                  <c:v>待收金额</c:v>
                </c:pt>
              </c:strCache>
            </c:strRef>
          </c:tx>
          <c:spPr>
            <a:solidFill>
              <a:srgbClr val="E8E6F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旧盘!$D$6:$U$6</c:f>
              <c:strCache>
                <c:ptCount val="18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  <c:pt idx="12">
                  <c:v>5月</c:v>
                </c:pt>
                <c:pt idx="13">
                  <c:v>6月</c:v>
                </c:pt>
                <c:pt idx="14">
                  <c:v>7月</c:v>
                </c:pt>
                <c:pt idx="15">
                  <c:v>8月</c:v>
                </c:pt>
                <c:pt idx="16">
                  <c:v>9月</c:v>
                </c:pt>
                <c:pt idx="17">
                  <c:v>1月</c:v>
                </c:pt>
              </c:strCache>
            </c:strRef>
          </c:cat>
          <c:val>
            <c:numRef>
              <c:f>旧盘!$D$7:$U$7</c:f>
              <c:numCache>
                <c:formatCode>_ * #,##0.00_ ;_ * \-#,##0.00_ ;_ * "-"??_ ;_ @_ </c:formatCode>
                <c:ptCount val="18"/>
                <c:pt idx="0">
                  <c:v>4333534.01</c:v>
                </c:pt>
                <c:pt idx="1">
                  <c:v>7062817.89</c:v>
                </c:pt>
                <c:pt idx="2">
                  <c:v>9460608.77</c:v>
                </c:pt>
                <c:pt idx="3">
                  <c:v>10310509.59</c:v>
                </c:pt>
                <c:pt idx="4">
                  <c:v>10187510.09</c:v>
                </c:pt>
                <c:pt idx="5">
                  <c:v>9436472</c:v>
                </c:pt>
                <c:pt idx="6">
                  <c:v>9804966.54</c:v>
                </c:pt>
                <c:pt idx="7">
                  <c:v>9405181.74</c:v>
                </c:pt>
                <c:pt idx="8">
                  <c:v>9107277.51</c:v>
                </c:pt>
                <c:pt idx="9">
                  <c:v>7719908.11</c:v>
                </c:pt>
                <c:pt idx="10">
                  <c:v>6630014.35</c:v>
                </c:pt>
                <c:pt idx="11">
                  <c:v>5855315.49</c:v>
                </c:pt>
                <c:pt idx="12">
                  <c:v>7386694.23</c:v>
                </c:pt>
                <c:pt idx="13">
                  <c:v>7838192.92</c:v>
                </c:pt>
                <c:pt idx="14">
                  <c:v>8539752.76</c:v>
                </c:pt>
                <c:pt idx="15">
                  <c:v>8536696.26</c:v>
                </c:pt>
                <c:pt idx="16">
                  <c:v>7731049</c:v>
                </c:pt>
                <c:pt idx="17">
                  <c:v>6320381.4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23147408"/>
        <c:axId val="77865945"/>
      </c:barChart>
      <c:barChart>
        <c:barDir val="col"/>
        <c:grouping val="clustered"/>
        <c:varyColors val="0"/>
        <c:ser>
          <c:idx val="1"/>
          <c:order val="1"/>
          <c:tx>
            <c:strRef>
              <c:f>旧盘!$B$8</c:f>
              <c:strCache>
                <c:ptCount val="1"/>
                <c:pt idx="0">
                  <c:v>实际出资</c:v>
                </c:pt>
              </c:strCache>
            </c:strRef>
          </c:tx>
          <c:spPr>
            <a:solidFill>
              <a:srgbClr val="FBD05F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旧盘!$D$6:$U$6</c:f>
              <c:strCache>
                <c:ptCount val="18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  <c:pt idx="12">
                  <c:v>5月</c:v>
                </c:pt>
                <c:pt idx="13">
                  <c:v>6月</c:v>
                </c:pt>
                <c:pt idx="14">
                  <c:v>7月</c:v>
                </c:pt>
                <c:pt idx="15">
                  <c:v>8月</c:v>
                </c:pt>
                <c:pt idx="16">
                  <c:v>9月</c:v>
                </c:pt>
                <c:pt idx="17">
                  <c:v>1月</c:v>
                </c:pt>
              </c:strCache>
            </c:strRef>
          </c:cat>
          <c:val>
            <c:numRef>
              <c:f>旧盘!$D$8:$O$8</c:f>
              <c:numCache>
                <c:formatCode>_ * #,##0.00_ ;_ * \-#,##0.00_ ;_ * "-"??_ ;_ @_ </c:formatCode>
                <c:ptCount val="12"/>
                <c:pt idx="0">
                  <c:v>2270179.61</c:v>
                </c:pt>
                <c:pt idx="1">
                  <c:v>3614894.48</c:v>
                </c:pt>
                <c:pt idx="2">
                  <c:v>4802256.23</c:v>
                </c:pt>
                <c:pt idx="3">
                  <c:v>4843545.74</c:v>
                </c:pt>
                <c:pt idx="4">
                  <c:v>4001790.47</c:v>
                </c:pt>
                <c:pt idx="5">
                  <c:v>2962731.37</c:v>
                </c:pt>
                <c:pt idx="6">
                  <c:v>2461463.51</c:v>
                </c:pt>
                <c:pt idx="7">
                  <c:v>2487230.61</c:v>
                </c:pt>
                <c:pt idx="8">
                  <c:v>1364884.58</c:v>
                </c:pt>
                <c:pt idx="9">
                  <c:v>41221.72</c:v>
                </c:pt>
                <c:pt idx="10">
                  <c:v>-805096.4</c:v>
                </c:pt>
                <c:pt idx="11">
                  <c:v>-1823270.9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64148365"/>
        <c:axId val="300801450"/>
      </c:barChart>
      <c:catAx>
        <c:axId val="1231474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</a:p>
        </c:txPr>
        <c:crossAx val="77865945"/>
        <c:crosses val="autoZero"/>
        <c:auto val="1"/>
        <c:lblAlgn val="ctr"/>
        <c:lblOffset val="100"/>
        <c:noMultiLvlLbl val="0"/>
      </c:catAx>
      <c:valAx>
        <c:axId val="7786594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</a:p>
        </c:txPr>
        <c:crossAx val="123147408"/>
        <c:crosses val="autoZero"/>
        <c:crossBetween val="between"/>
      </c:valAx>
      <c:catAx>
        <c:axId val="56414836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</a:p>
        </c:txPr>
        <c:crossAx val="300801450"/>
        <c:crosses val="autoZero"/>
        <c:auto val="1"/>
        <c:lblAlgn val="ctr"/>
        <c:lblOffset val="100"/>
        <c:noMultiLvlLbl val="0"/>
      </c:catAx>
      <c:valAx>
        <c:axId val="300801450"/>
        <c:scaling>
          <c:orientation val="minMax"/>
        </c:scaling>
        <c:delete val="0"/>
        <c:axPos val="r"/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</a:p>
        </c:txPr>
        <c:crossAx val="56414836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汉仪雅酷黑 55W" panose="020B0504020202020204" charset="-122"/>
              <a:ea typeface="汉仪雅酷黑 55W" panose="020B0504020202020204" charset="-122"/>
              <a:cs typeface="汉仪雅酷黑 55W" panose="020B0504020202020204" charset="-122"/>
              <a:sym typeface="汉仪雅酷黑 55W" panose="020B0504020202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769f9e-ef3b-49ba-87ad-6a41c22a9d4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汉仪雅酷黑 55W" panose="020B0504020202020204" charset="-122"/>
          <a:ea typeface="汉仪雅酷黑 55W" panose="020B0504020202020204" charset="-122"/>
          <a:cs typeface="汉仪雅酷黑 55W" panose="020B0504020202020204" charset="-122"/>
          <a:sym typeface="汉仪雅酷黑 55W" panose="020B0504020202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r>
              <a:rPr lang="zh-CN" altLang="en-US" sz="1200"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rPr>
              <a:t>逾期本金</a:t>
            </a:r>
            <a:endParaRPr lang="zh-CN" altLang="en-US" sz="1200">
              <a:latin typeface="汉仪雅酷黑 55W" panose="020B0504020202020204" charset="-122"/>
              <a:ea typeface="汉仪雅酷黑 55W" panose="020B0504020202020204" charset="-122"/>
              <a:cs typeface="汉仪雅酷黑 55W" panose="020B0504020202020204" charset="-122"/>
              <a:sym typeface="汉仪雅酷黑 55W" panose="020B0504020202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FF808B"/>
            </a:solidFill>
            <a:ln>
              <a:noFill/>
            </a:ln>
            <a:effectLst/>
          </c:spPr>
          <c:dLbls>
            <c:delete val="1"/>
          </c:dLbls>
          <c:cat>
            <c:strRef>
              <c:f>旧盘!$D$6:$U$6</c:f>
              <c:strCache>
                <c:ptCount val="18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  <c:pt idx="12">
                  <c:v>5月</c:v>
                </c:pt>
                <c:pt idx="13">
                  <c:v>6月</c:v>
                </c:pt>
                <c:pt idx="14">
                  <c:v>7月</c:v>
                </c:pt>
                <c:pt idx="15">
                  <c:v>8月</c:v>
                </c:pt>
                <c:pt idx="16">
                  <c:v>9月</c:v>
                </c:pt>
                <c:pt idx="17">
                  <c:v>1月</c:v>
                </c:pt>
              </c:strCache>
            </c:strRef>
          </c:cat>
          <c:val>
            <c:numRef>
              <c:f>旧盘!$D$9:$U$9</c:f>
              <c:numCache>
                <c:formatCode>_ * #,##0.00_ ;_ * \-#,##0.00_ ;_ * "-"??_ ;_ @_ </c:formatCode>
                <c:ptCount val="18"/>
                <c:pt idx="0">
                  <c:v>164727.99</c:v>
                </c:pt>
                <c:pt idx="1">
                  <c:v>247027.79</c:v>
                </c:pt>
                <c:pt idx="2">
                  <c:v>655892.89</c:v>
                </c:pt>
                <c:pt idx="3">
                  <c:v>1016656.02</c:v>
                </c:pt>
                <c:pt idx="4">
                  <c:v>1142306.89</c:v>
                </c:pt>
                <c:pt idx="5">
                  <c:v>1381899.76</c:v>
                </c:pt>
                <c:pt idx="6">
                  <c:v>1437090.09</c:v>
                </c:pt>
                <c:pt idx="7">
                  <c:v>1838192.59</c:v>
                </c:pt>
                <c:pt idx="8">
                  <c:v>2074889.43</c:v>
                </c:pt>
                <c:pt idx="9">
                  <c:v>3155408.59</c:v>
                </c:pt>
                <c:pt idx="10">
                  <c:v>3615068.43</c:v>
                </c:pt>
                <c:pt idx="11">
                  <c:v>3615068.43</c:v>
                </c:pt>
                <c:pt idx="12">
                  <c:v>3474639.91</c:v>
                </c:pt>
                <c:pt idx="13">
                  <c:v>3915761.79</c:v>
                </c:pt>
                <c:pt idx="14">
                  <c:v>4107004.82</c:v>
                </c:pt>
                <c:pt idx="15">
                  <c:v>4107004.82</c:v>
                </c:pt>
                <c:pt idx="16">
                  <c:v>4127999.52</c:v>
                </c:pt>
                <c:pt idx="17">
                  <c:v>6237586.4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808934"/>
        <c:axId val="159612228"/>
      </c:areaChart>
      <c:catAx>
        <c:axId val="77080893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</a:p>
        </c:txPr>
        <c:crossAx val="159612228"/>
        <c:crosses val="autoZero"/>
        <c:auto val="1"/>
        <c:lblAlgn val="ctr"/>
        <c:lblOffset val="100"/>
        <c:noMultiLvlLbl val="0"/>
      </c:catAx>
      <c:valAx>
        <c:axId val="1596122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</a:p>
        </c:txPr>
        <c:crossAx val="77080893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9c9a7569-9f72-474e-9852-a7e767a8f85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汉仪雅酷黑 55W" panose="020B0504020202020204" charset="-122"/>
          <a:ea typeface="汉仪雅酷黑 55W" panose="020B0504020202020204" charset="-122"/>
          <a:cs typeface="汉仪雅酷黑 55W" panose="020B0504020202020204" charset="-122"/>
          <a:sym typeface="汉仪雅酷黑 55W" panose="020B0504020202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汉仪雅酷黑 55W" panose="020B0504020202020204" charset="-122"/>
              <a:ea typeface="汉仪雅酷黑 55W" panose="020B0504020202020204" charset="-122"/>
              <a:cs typeface="汉仪雅酷黑 55W" panose="020B0504020202020204" charset="-122"/>
              <a:sym typeface="汉仪雅酷黑 55W" panose="020B0504020202020204" charset="-122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898455406078724"/>
          <c:y val="0.159783537453717"/>
          <c:w val="0.888231190832088"/>
          <c:h val="0.702477926516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旧盘!$B$10</c:f>
              <c:strCache>
                <c:ptCount val="1"/>
                <c:pt idx="0">
                  <c:v>利润金额</c:v>
                </c:pt>
              </c:strCache>
            </c:strRef>
          </c:tx>
          <c:spPr>
            <a:solidFill>
              <a:srgbClr val="FEB17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旧盘!$D$6:$U$6</c:f>
              <c:strCache>
                <c:ptCount val="18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  <c:pt idx="12">
                  <c:v>5月</c:v>
                </c:pt>
                <c:pt idx="13">
                  <c:v>6月</c:v>
                </c:pt>
                <c:pt idx="14">
                  <c:v>7月</c:v>
                </c:pt>
                <c:pt idx="15">
                  <c:v>8月</c:v>
                </c:pt>
                <c:pt idx="16">
                  <c:v>9月</c:v>
                </c:pt>
                <c:pt idx="17">
                  <c:v>1月</c:v>
                </c:pt>
              </c:strCache>
            </c:strRef>
          </c:cat>
          <c:val>
            <c:numRef>
              <c:f>旧盘!$D$10:$U$10</c:f>
              <c:numCache>
                <c:formatCode>_ * #,##0.00_ ;_ * \-#,##0.00_ ;_ * "-"??_ ;_ @_ </c:formatCode>
                <c:ptCount val="18"/>
                <c:pt idx="0">
                  <c:v>1898626.41</c:v>
                </c:pt>
                <c:pt idx="1">
                  <c:v>3200895.62</c:v>
                </c:pt>
                <c:pt idx="2">
                  <c:v>4002459.65</c:v>
                </c:pt>
                <c:pt idx="3">
                  <c:v>4450307.83</c:v>
                </c:pt>
                <c:pt idx="4">
                  <c:v>5043412.73</c:v>
                </c:pt>
                <c:pt idx="5">
                  <c:v>5091840.87</c:v>
                </c:pt>
                <c:pt idx="6">
                  <c:v>5906412.94</c:v>
                </c:pt>
                <c:pt idx="7">
                  <c:v>5079758.54</c:v>
                </c:pt>
                <c:pt idx="8">
                  <c:v>5667503.5</c:v>
                </c:pt>
                <c:pt idx="9">
                  <c:v>4523277.8</c:v>
                </c:pt>
                <c:pt idx="10">
                  <c:v>3820042.32</c:v>
                </c:pt>
                <c:pt idx="11">
                  <c:v>4063517.96</c:v>
                </c:pt>
                <c:pt idx="12">
                  <c:v>4985810.97</c:v>
                </c:pt>
                <c:pt idx="13">
                  <c:v>4401559.13</c:v>
                </c:pt>
                <c:pt idx="14">
                  <c:v>5306421.6414</c:v>
                </c:pt>
                <c:pt idx="15">
                  <c:v>5090126.505</c:v>
                </c:pt>
                <c:pt idx="16">
                  <c:v>5683880.48</c:v>
                </c:pt>
                <c:pt idx="17">
                  <c:v>3326955.66064652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3"/>
        <c:overlap val="-27"/>
        <c:axId val="483877576"/>
        <c:axId val="844230195"/>
      </c:barChart>
      <c:catAx>
        <c:axId val="483877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4230195"/>
        <c:crosses val="autoZero"/>
        <c:auto val="1"/>
        <c:lblAlgn val="ctr"/>
        <c:lblOffset val="100"/>
        <c:noMultiLvlLbl val="0"/>
      </c:catAx>
      <c:valAx>
        <c:axId val="84423019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877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5d2a5eb-0431-4b17-856a-be25134664d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汉仪雅酷黑 55W" panose="020B0504020202020204" charset="-122"/>
              <a:ea typeface="汉仪雅酷黑 55W" panose="020B0504020202020204" charset="-122"/>
              <a:cs typeface="汉仪雅酷黑 55W" panose="020B0504020202020204" charset="-122"/>
              <a:sym typeface="汉仪雅酷黑 55W" panose="020B0504020202020204" charset="-122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旧盘!$B$11</c:f>
              <c:strCache>
                <c:ptCount val="1"/>
                <c:pt idx="0">
                  <c:v>利润率</c:v>
                </c:pt>
              </c:strCache>
            </c:strRef>
          </c:tx>
          <c:spPr>
            <a:ln w="28575" cap="rnd">
              <a:solidFill>
                <a:srgbClr val="FEB179"/>
              </a:solidFill>
              <a:round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rgbClr val="FEB179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</c:marker>
          <c:dLbls>
            <c:delete val="1"/>
          </c:dLbls>
          <c:cat>
            <c:strRef>
              <c:f>旧盘!$D$6:$U$6</c:f>
              <c:strCache>
                <c:ptCount val="18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  <c:pt idx="11">
                  <c:v>4月</c:v>
                </c:pt>
                <c:pt idx="12">
                  <c:v>5月</c:v>
                </c:pt>
                <c:pt idx="13">
                  <c:v>6月</c:v>
                </c:pt>
                <c:pt idx="14">
                  <c:v>7月</c:v>
                </c:pt>
                <c:pt idx="15">
                  <c:v>8月</c:v>
                </c:pt>
                <c:pt idx="16">
                  <c:v>9月</c:v>
                </c:pt>
                <c:pt idx="17">
                  <c:v>1月</c:v>
                </c:pt>
              </c:strCache>
            </c:strRef>
          </c:cat>
          <c:val>
            <c:numRef>
              <c:f>旧盘!$D$11:$U$11</c:f>
              <c:numCache>
                <c:formatCode>0.00%</c:formatCode>
                <c:ptCount val="18"/>
                <c:pt idx="0">
                  <c:v>0.438124266619059</c:v>
                </c:pt>
                <c:pt idx="1">
                  <c:v>0.453203759441687</c:v>
                </c:pt>
                <c:pt idx="2">
                  <c:v>0.42306576112649</c:v>
                </c:pt>
                <c:pt idx="3">
                  <c:v>0.431628310041657</c:v>
                </c:pt>
                <c:pt idx="4">
                  <c:v>0.495058427961763</c:v>
                </c:pt>
                <c:pt idx="5">
                  <c:v>0.539591583591834</c:v>
                </c:pt>
                <c:pt idx="6">
                  <c:v>0.602389912898163</c:v>
                </c:pt>
                <c:pt idx="7">
                  <c:v>0.540102113965105</c:v>
                </c:pt>
                <c:pt idx="8">
                  <c:v>0.622304908769602</c:v>
                </c:pt>
                <c:pt idx="9">
                  <c:v>0.585923787634307</c:v>
                </c:pt>
                <c:pt idx="10">
                  <c:v>0.576174065143615</c:v>
                </c:pt>
                <c:pt idx="11">
                  <c:v>0.693987875963281</c:v>
                </c:pt>
                <c:pt idx="12">
                  <c:v>0.674971890639637</c:v>
                </c:pt>
                <c:pt idx="13">
                  <c:v>0.561552793472197</c:v>
                </c:pt>
                <c:pt idx="14">
                  <c:v>0.621378837365779</c:v>
                </c:pt>
                <c:pt idx="15">
                  <c:v>0.596264216269538</c:v>
                </c:pt>
                <c:pt idx="16">
                  <c:v>0.735201714540938</c:v>
                </c:pt>
                <c:pt idx="17">
                  <c:v>0.526385268560932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585650348"/>
        <c:axId val="312012596"/>
      </c:lineChart>
      <c:catAx>
        <c:axId val="5856503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</a:p>
        </c:txPr>
        <c:crossAx val="312012596"/>
        <c:crosses val="autoZero"/>
        <c:auto val="1"/>
        <c:lblAlgn val="ctr"/>
        <c:lblOffset val="100"/>
        <c:noMultiLvlLbl val="0"/>
      </c:catAx>
      <c:valAx>
        <c:axId val="3120125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</a:p>
        </c:txPr>
        <c:crossAx val="5856503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84420c0-55fd-4e8b-8226-eb4b51cb61f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汉仪雅酷黑 55W" panose="020B0504020202020204" charset="-122"/>
          <a:ea typeface="汉仪雅酷黑 55W" panose="020B0504020202020204" charset="-122"/>
          <a:cs typeface="汉仪雅酷黑 55W" panose="020B0504020202020204" charset="-122"/>
          <a:sym typeface="汉仪雅酷黑 55W" panose="020B0504020202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新盘!$F$7</c:f>
              <c:strCache>
                <c:ptCount val="1"/>
                <c:pt idx="0">
                  <c:v>待收金额</c:v>
                </c:pt>
              </c:strCache>
            </c:strRef>
          </c:tx>
          <c:spPr>
            <a:solidFill>
              <a:srgbClr val="E8E6F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新盘!$H$6:$P$6</c:f>
              <c:strCache>
                <c:ptCount val="9"/>
                <c:pt idx="0">
                  <c:v>2月</c:v>
                </c:pt>
                <c:pt idx="1">
                  <c:v>3月</c:v>
                </c:pt>
                <c:pt idx="2">
                  <c:v>4月</c:v>
                </c:pt>
                <c:pt idx="3">
                  <c:v>5月</c:v>
                </c:pt>
                <c:pt idx="4">
                  <c:v>6月</c:v>
                </c:pt>
                <c:pt idx="5">
                  <c:v>7月</c:v>
                </c:pt>
                <c:pt idx="6">
                  <c:v>8月</c:v>
                </c:pt>
                <c:pt idx="7">
                  <c:v>9月</c:v>
                </c:pt>
                <c:pt idx="8">
                  <c:v>1月</c:v>
                </c:pt>
              </c:strCache>
            </c:strRef>
          </c:cat>
          <c:val>
            <c:numRef>
              <c:f>新盘!$H$7:$N$7</c:f>
              <c:numCache>
                <c:formatCode>_ * #,##0.00_ ;_ * \-#,##0.00_ ;_ * "-"??_ ;_ @_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2543906.5</c:v>
                </c:pt>
                <c:pt idx="5">
                  <c:v>3523407.6</c:v>
                </c:pt>
                <c:pt idx="6">
                  <c:v>3793199.8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23147408"/>
        <c:axId val="77865945"/>
      </c:barChart>
      <c:barChart>
        <c:barDir val="col"/>
        <c:grouping val="clustered"/>
        <c:varyColors val="0"/>
        <c:ser>
          <c:idx val="1"/>
          <c:order val="1"/>
          <c:tx>
            <c:strRef>
              <c:f>新盘!$F$8</c:f>
              <c:strCache>
                <c:ptCount val="1"/>
                <c:pt idx="0">
                  <c:v>实际出资</c:v>
                </c:pt>
              </c:strCache>
            </c:strRef>
          </c:tx>
          <c:spPr>
            <a:solidFill>
              <a:srgbClr val="FBD05F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新盘!$H$6:$P$6</c:f>
              <c:strCache>
                <c:ptCount val="9"/>
                <c:pt idx="0">
                  <c:v>2月</c:v>
                </c:pt>
                <c:pt idx="1">
                  <c:v>3月</c:v>
                </c:pt>
                <c:pt idx="2">
                  <c:v>4月</c:v>
                </c:pt>
                <c:pt idx="3">
                  <c:v>5月</c:v>
                </c:pt>
                <c:pt idx="4">
                  <c:v>6月</c:v>
                </c:pt>
                <c:pt idx="5">
                  <c:v>7月</c:v>
                </c:pt>
                <c:pt idx="6">
                  <c:v>8月</c:v>
                </c:pt>
                <c:pt idx="7">
                  <c:v>9月</c:v>
                </c:pt>
                <c:pt idx="8">
                  <c:v>1月</c:v>
                </c:pt>
              </c:strCache>
            </c:strRef>
          </c:cat>
          <c:val>
            <c:numRef>
              <c:f>新盘!$H$8:$P$8</c:f>
              <c:numCache>
                <c:formatCode>_ * #,##0.00_ ;_ * \-#,##0.00_ ;_ * "-"??_ ;_ @_ 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1797126.202</c:v>
                </c:pt>
                <c:pt idx="5">
                  <c:v>3008739.874</c:v>
                </c:pt>
                <c:pt idx="6">
                  <c:v>2655631.378</c:v>
                </c:pt>
                <c:pt idx="7">
                  <c:v>3697330</c:v>
                </c:pt>
                <c:pt idx="8">
                  <c:v>1026067.733246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64148365"/>
        <c:axId val="300801450"/>
      </c:barChart>
      <c:catAx>
        <c:axId val="1231474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</a:p>
        </c:txPr>
        <c:crossAx val="77865945"/>
        <c:crosses val="autoZero"/>
        <c:auto val="1"/>
        <c:lblAlgn val="ctr"/>
        <c:lblOffset val="100"/>
        <c:noMultiLvlLbl val="0"/>
      </c:catAx>
      <c:valAx>
        <c:axId val="7786594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</a:p>
        </c:txPr>
        <c:crossAx val="123147408"/>
        <c:crosses val="autoZero"/>
        <c:crossBetween val="between"/>
      </c:valAx>
      <c:catAx>
        <c:axId val="56414836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</a:p>
        </c:txPr>
        <c:crossAx val="300801450"/>
        <c:crosses val="autoZero"/>
        <c:auto val="1"/>
        <c:lblAlgn val="ctr"/>
        <c:lblOffset val="100"/>
        <c:noMultiLvlLbl val="0"/>
      </c:catAx>
      <c:valAx>
        <c:axId val="300801450"/>
        <c:scaling>
          <c:orientation val="minMax"/>
        </c:scaling>
        <c:delete val="0"/>
        <c:axPos val="r"/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</a:p>
        </c:txPr>
        <c:crossAx val="56414836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汉仪雅酷黑 55W" panose="020B0504020202020204" charset="-122"/>
              <a:ea typeface="汉仪雅酷黑 55W" panose="020B0504020202020204" charset="-122"/>
              <a:cs typeface="汉仪雅酷黑 55W" panose="020B0504020202020204" charset="-122"/>
              <a:sym typeface="汉仪雅酷黑 55W" panose="020B0504020202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e492e2-7200-4199-a7d3-64eaf92ae8e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汉仪雅酷黑 55W" panose="020B0504020202020204" charset="-122"/>
          <a:ea typeface="汉仪雅酷黑 55W" panose="020B0504020202020204" charset="-122"/>
          <a:cs typeface="汉仪雅酷黑 55W" panose="020B0504020202020204" charset="-122"/>
          <a:sym typeface="汉仪雅酷黑 55W" panose="020B0504020202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r>
              <a:rPr lang="zh-CN" altLang="en-US" sz="1200"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rPr>
              <a:t>逾期本金</a:t>
            </a:r>
            <a:endParaRPr lang="zh-CN" altLang="en-US" sz="1200">
              <a:latin typeface="汉仪雅酷黑 55W" panose="020B0504020202020204" charset="-122"/>
              <a:ea typeface="汉仪雅酷黑 55W" panose="020B0504020202020204" charset="-122"/>
              <a:cs typeface="汉仪雅酷黑 55W" panose="020B0504020202020204" charset="-122"/>
              <a:sym typeface="汉仪雅酷黑 55W" panose="020B0504020202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FF808B"/>
            </a:solidFill>
            <a:ln>
              <a:noFill/>
            </a:ln>
            <a:effectLst/>
          </c:spPr>
          <c:dLbls>
            <c:delete val="1"/>
          </c:dLbls>
          <c:cat>
            <c:strRef>
              <c:f>新盘!$H$6:$P$6</c:f>
              <c:strCache>
                <c:ptCount val="9"/>
                <c:pt idx="0">
                  <c:v>2月</c:v>
                </c:pt>
                <c:pt idx="1">
                  <c:v>3月</c:v>
                </c:pt>
                <c:pt idx="2">
                  <c:v>4月</c:v>
                </c:pt>
                <c:pt idx="3">
                  <c:v>5月</c:v>
                </c:pt>
                <c:pt idx="4">
                  <c:v>6月</c:v>
                </c:pt>
                <c:pt idx="5">
                  <c:v>7月</c:v>
                </c:pt>
                <c:pt idx="6">
                  <c:v>8月</c:v>
                </c:pt>
                <c:pt idx="7">
                  <c:v>9月</c:v>
                </c:pt>
                <c:pt idx="8">
                  <c:v>1月</c:v>
                </c:pt>
              </c:strCache>
            </c:strRef>
          </c:cat>
          <c:val>
            <c:numRef>
              <c:f>新盘!$H$9:$P$9</c:f>
              <c:numCache>
                <c:formatCode>_ * #,##0.00_ ;_ * \-#,##0.00_ ;_ * "-"??_ ;_ @_ 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790846.8</c:v>
                </c:pt>
                <c:pt idx="8">
                  <c:v>1895650.6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808934"/>
        <c:axId val="159612228"/>
      </c:areaChart>
      <c:catAx>
        <c:axId val="77080893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</a:p>
        </c:txPr>
        <c:crossAx val="159612228"/>
        <c:crosses val="autoZero"/>
        <c:auto val="1"/>
        <c:lblAlgn val="ctr"/>
        <c:lblOffset val="100"/>
        <c:noMultiLvlLbl val="0"/>
      </c:catAx>
      <c:valAx>
        <c:axId val="1596122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</a:p>
        </c:txPr>
        <c:crossAx val="77080893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d4141fb1-978a-43e4-a58a-7823bd3701a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汉仪雅酷黑 55W" panose="020B0504020202020204" charset="-122"/>
          <a:ea typeface="汉仪雅酷黑 55W" panose="020B0504020202020204" charset="-122"/>
          <a:cs typeface="汉仪雅酷黑 55W" panose="020B0504020202020204" charset="-122"/>
          <a:sym typeface="汉仪雅酷黑 55W" panose="020B0504020202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汉仪雅酷黑 55W" panose="020B0504020202020204" charset="-122"/>
              <a:ea typeface="汉仪雅酷黑 55W" panose="020B0504020202020204" charset="-122"/>
              <a:cs typeface="汉仪雅酷黑 55W" panose="020B0504020202020204" charset="-122"/>
              <a:sym typeface="汉仪雅酷黑 55W" panose="020B0504020202020204" charset="-122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898455406078724"/>
          <c:y val="0.159783537453717"/>
          <c:w val="0.888231190832088"/>
          <c:h val="0.702477926516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新盘!$F$10</c:f>
              <c:strCache>
                <c:ptCount val="1"/>
                <c:pt idx="0">
                  <c:v>利润金额</c:v>
                </c:pt>
              </c:strCache>
            </c:strRef>
          </c:tx>
          <c:spPr>
            <a:solidFill>
              <a:srgbClr val="FEB17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新盘!$H$6:$P$6</c:f>
              <c:strCache>
                <c:ptCount val="9"/>
                <c:pt idx="0">
                  <c:v>2月</c:v>
                </c:pt>
                <c:pt idx="1">
                  <c:v>3月</c:v>
                </c:pt>
                <c:pt idx="2">
                  <c:v>4月</c:v>
                </c:pt>
                <c:pt idx="3">
                  <c:v>5月</c:v>
                </c:pt>
                <c:pt idx="4">
                  <c:v>6月</c:v>
                </c:pt>
                <c:pt idx="5">
                  <c:v>7月</c:v>
                </c:pt>
                <c:pt idx="6">
                  <c:v>8月</c:v>
                </c:pt>
                <c:pt idx="7">
                  <c:v>9月</c:v>
                </c:pt>
                <c:pt idx="8">
                  <c:v>1月</c:v>
                </c:pt>
              </c:strCache>
            </c:strRef>
          </c:cat>
          <c:val>
            <c:numRef>
              <c:f>新盘!$H$10:$P$10</c:f>
              <c:numCache>
                <c:formatCode>_ * #,##0.00_ ;_ * \-#,##0.00_ ;_ * "-"??_ ;_ @_ 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746780.298</c:v>
                </c:pt>
                <c:pt idx="5">
                  <c:v>514667.726</c:v>
                </c:pt>
                <c:pt idx="6">
                  <c:v>1137568.422</c:v>
                </c:pt>
                <c:pt idx="7">
                  <c:v>-36541.3999999997</c:v>
                </c:pt>
                <c:pt idx="8">
                  <c:v>-476274.733246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3"/>
        <c:overlap val="-27"/>
        <c:axId val="483877576"/>
        <c:axId val="844230195"/>
      </c:barChart>
      <c:catAx>
        <c:axId val="483877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4230195"/>
        <c:crosses val="autoZero"/>
        <c:auto val="1"/>
        <c:lblAlgn val="ctr"/>
        <c:lblOffset val="100"/>
        <c:noMultiLvlLbl val="0"/>
      </c:catAx>
      <c:valAx>
        <c:axId val="84423019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877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bff4f66-e781-486f-8de8-fe748adaee5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汉仪雅酷黑 55W" panose="020B0504020202020204" charset="-122"/>
              <a:ea typeface="汉仪雅酷黑 55W" panose="020B0504020202020204" charset="-122"/>
              <a:cs typeface="汉仪雅酷黑 55W" panose="020B0504020202020204" charset="-122"/>
              <a:sym typeface="汉仪雅酷黑 55W" panose="020B0504020202020204" charset="-122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新盘!$F$11</c:f>
              <c:strCache>
                <c:ptCount val="1"/>
                <c:pt idx="0">
                  <c:v>利润率</c:v>
                </c:pt>
              </c:strCache>
            </c:strRef>
          </c:tx>
          <c:spPr>
            <a:ln w="28575" cap="rnd">
              <a:solidFill>
                <a:srgbClr val="FEB179"/>
              </a:solidFill>
              <a:round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rgbClr val="FEB179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</c:marker>
          <c:dLbls>
            <c:delete val="1"/>
          </c:dLbls>
          <c:cat>
            <c:strRef>
              <c:f>新盘!$H$6:$P$6</c:f>
              <c:strCache>
                <c:ptCount val="9"/>
                <c:pt idx="0">
                  <c:v>2月</c:v>
                </c:pt>
                <c:pt idx="1">
                  <c:v>3月</c:v>
                </c:pt>
                <c:pt idx="2">
                  <c:v>4月</c:v>
                </c:pt>
                <c:pt idx="3">
                  <c:v>5月</c:v>
                </c:pt>
                <c:pt idx="4">
                  <c:v>6月</c:v>
                </c:pt>
                <c:pt idx="5">
                  <c:v>7月</c:v>
                </c:pt>
                <c:pt idx="6">
                  <c:v>8月</c:v>
                </c:pt>
                <c:pt idx="7">
                  <c:v>9月</c:v>
                </c:pt>
                <c:pt idx="8">
                  <c:v>1月</c:v>
                </c:pt>
              </c:strCache>
            </c:strRef>
          </c:cat>
          <c:val>
            <c:numRef>
              <c:f>新盘!$H$11:$P$11</c:f>
              <c:numCache>
                <c:formatCode>_ * #,##0.00_ ;_ * \-#,##0.00_ ;_ * "-"??_ ;_ @_ 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c:formatCode="0.00%">
                  <c:v>0.293556503747288</c:v>
                </c:pt>
                <c:pt idx="5" c:formatCode="0.00%">
                  <c:v>0.146071015456741</c:v>
                </c:pt>
                <c:pt idx="6" c:formatCode="0.00%">
                  <c:v>0.29989678424005</c:v>
                </c:pt>
                <c:pt idx="7" c:formatCode="0.00%">
                  <c:v>-0.00820853387948161</c:v>
                </c:pt>
                <c:pt idx="8" c:formatCode="0.00%">
                  <c:v>-0.194760056312891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585650348"/>
        <c:axId val="312012596"/>
      </c:lineChart>
      <c:catAx>
        <c:axId val="5856503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</a:p>
        </c:txPr>
        <c:crossAx val="312012596"/>
        <c:crosses val="autoZero"/>
        <c:auto val="1"/>
        <c:lblAlgn val="ctr"/>
        <c:lblOffset val="100"/>
        <c:noMultiLvlLbl val="0"/>
      </c:catAx>
      <c:valAx>
        <c:axId val="3120125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</a:p>
        </c:txPr>
        <c:crossAx val="5856503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70fffde-292b-45ea-92f5-0818ba7b91b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汉仪雅酷黑 55W" panose="020B0504020202020204" charset="-122"/>
          <a:ea typeface="汉仪雅酷黑 55W" panose="020B0504020202020204" charset="-122"/>
          <a:cs typeface="汉仪雅酷黑 55W" panose="020B0504020202020204" charset="-122"/>
          <a:sym typeface="汉仪雅酷黑 55W" panose="020B0504020202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120014</xdr:colOff>
      <xdr:row>3</xdr:row>
      <xdr:rowOff>23813</xdr:rowOff>
    </xdr:from>
    <xdr:to>
      <xdr:col>4</xdr:col>
      <xdr:colOff>731519</xdr:colOff>
      <xdr:row>4</xdr:row>
      <xdr:rowOff>14288</xdr:rowOff>
    </xdr:to>
    <xdr:sp>
      <xdr:nvSpPr>
        <xdr:cNvPr id="5" name="圆角矩形 4"/>
        <xdr:cNvSpPr/>
      </xdr:nvSpPr>
      <xdr:spPr>
        <a:xfrm>
          <a:off x="972820" y="1052195"/>
          <a:ext cx="2539365" cy="600075"/>
        </a:xfrm>
        <a:prstGeom prst="roundRect">
          <a:avLst/>
        </a:prstGeom>
        <a:solidFill>
          <a:srgbClr val="FE915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701039</xdr:colOff>
      <xdr:row>3</xdr:row>
      <xdr:rowOff>23813</xdr:rowOff>
    </xdr:from>
    <xdr:to>
      <xdr:col>8</xdr:col>
      <xdr:colOff>55244</xdr:colOff>
      <xdr:row>4</xdr:row>
      <xdr:rowOff>14288</xdr:rowOff>
    </xdr:to>
    <xdr:sp>
      <xdr:nvSpPr>
        <xdr:cNvPr id="6" name="圆角矩形 5"/>
        <xdr:cNvSpPr/>
      </xdr:nvSpPr>
      <xdr:spPr>
        <a:xfrm>
          <a:off x="4716145" y="1052195"/>
          <a:ext cx="3141345" cy="600075"/>
        </a:xfrm>
        <a:prstGeom prst="roundRect">
          <a:avLst/>
        </a:prstGeom>
        <a:solidFill>
          <a:srgbClr val="FBD05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49530</xdr:colOff>
      <xdr:row>3</xdr:row>
      <xdr:rowOff>23813</xdr:rowOff>
    </xdr:from>
    <xdr:to>
      <xdr:col>11</xdr:col>
      <xdr:colOff>937260</xdr:colOff>
      <xdr:row>4</xdr:row>
      <xdr:rowOff>14288</xdr:rowOff>
    </xdr:to>
    <xdr:sp>
      <xdr:nvSpPr>
        <xdr:cNvPr id="7" name="圆角矩形 6"/>
        <xdr:cNvSpPr/>
      </xdr:nvSpPr>
      <xdr:spPr>
        <a:xfrm>
          <a:off x="9170670" y="1052195"/>
          <a:ext cx="3356610" cy="600075"/>
        </a:xfrm>
        <a:prstGeom prst="roundRect">
          <a:avLst/>
        </a:prstGeom>
        <a:solidFill>
          <a:srgbClr val="FF808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927735</xdr:colOff>
      <xdr:row>3</xdr:row>
      <xdr:rowOff>23813</xdr:rowOff>
    </xdr:from>
    <xdr:to>
      <xdr:col>15</xdr:col>
      <xdr:colOff>556260</xdr:colOff>
      <xdr:row>4</xdr:row>
      <xdr:rowOff>14288</xdr:rowOff>
    </xdr:to>
    <xdr:sp>
      <xdr:nvSpPr>
        <xdr:cNvPr id="8" name="圆角矩形 7"/>
        <xdr:cNvSpPr/>
      </xdr:nvSpPr>
      <xdr:spPr>
        <a:xfrm>
          <a:off x="13752195" y="1052195"/>
          <a:ext cx="3331845" cy="600075"/>
        </a:xfrm>
        <a:prstGeom prst="roundRect">
          <a:avLst/>
        </a:prstGeom>
        <a:solidFill>
          <a:srgbClr val="FEB17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117152</xdr:colOff>
      <xdr:row>11</xdr:row>
      <xdr:rowOff>85407</xdr:rowOff>
    </xdr:from>
    <xdr:to>
      <xdr:col>11</xdr:col>
      <xdr:colOff>920242</xdr:colOff>
      <xdr:row>19</xdr:row>
      <xdr:rowOff>70167</xdr:rowOff>
    </xdr:to>
    <xdr:sp>
      <xdr:nvSpPr>
        <xdr:cNvPr id="13" name="圆角矩形 12"/>
        <xdr:cNvSpPr/>
      </xdr:nvSpPr>
      <xdr:spPr>
        <a:xfrm>
          <a:off x="116840" y="4190365"/>
          <a:ext cx="12393295" cy="252984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140969</xdr:colOff>
      <xdr:row>11</xdr:row>
      <xdr:rowOff>244475</xdr:rowOff>
    </xdr:from>
    <xdr:to>
      <xdr:col>10</xdr:col>
      <xdr:colOff>1047972</xdr:colOff>
      <xdr:row>18</xdr:row>
      <xdr:rowOff>227330</xdr:rowOff>
    </xdr:to>
    <xdr:graphicFrame>
      <xdr:nvGraphicFramePr>
        <xdr:cNvPr id="9" name="图表 8"/>
        <xdr:cNvGraphicFramePr/>
      </xdr:nvGraphicFramePr>
      <xdr:xfrm>
        <a:off x="323215" y="4349750"/>
        <a:ext cx="11080115" cy="220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10733</xdr:colOff>
      <xdr:row>11</xdr:row>
      <xdr:rowOff>74930</xdr:rowOff>
    </xdr:from>
    <xdr:to>
      <xdr:col>21</xdr:col>
      <xdr:colOff>38210</xdr:colOff>
      <xdr:row>19</xdr:row>
      <xdr:rowOff>80645</xdr:rowOff>
    </xdr:to>
    <xdr:sp>
      <xdr:nvSpPr>
        <xdr:cNvPr id="14" name="圆角矩形 13"/>
        <xdr:cNvSpPr/>
      </xdr:nvSpPr>
      <xdr:spPr>
        <a:xfrm>
          <a:off x="12834620" y="4180205"/>
          <a:ext cx="11587480" cy="255079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945411</xdr:colOff>
      <xdr:row>11</xdr:row>
      <xdr:rowOff>83185</xdr:rowOff>
    </xdr:from>
    <xdr:to>
      <xdr:col>20</xdr:col>
      <xdr:colOff>901628</xdr:colOff>
      <xdr:row>19</xdr:row>
      <xdr:rowOff>12065</xdr:rowOff>
    </xdr:to>
    <xdr:graphicFrame>
      <xdr:nvGraphicFramePr>
        <xdr:cNvPr id="10" name="图表 9"/>
        <xdr:cNvGraphicFramePr/>
      </xdr:nvGraphicFramePr>
      <xdr:xfrm>
        <a:off x="13769340" y="4188460"/>
        <a:ext cx="10296525" cy="247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123823</xdr:colOff>
      <xdr:row>20</xdr:row>
      <xdr:rowOff>21590</xdr:rowOff>
    </xdr:from>
    <xdr:to>
      <xdr:col>11</xdr:col>
      <xdr:colOff>912253</xdr:colOff>
      <xdr:row>27</xdr:row>
      <xdr:rowOff>178435</xdr:rowOff>
    </xdr:to>
    <xdr:sp>
      <xdr:nvSpPr>
        <xdr:cNvPr id="15" name="圆角矩形 14"/>
        <xdr:cNvSpPr/>
      </xdr:nvSpPr>
      <xdr:spPr>
        <a:xfrm>
          <a:off x="123190" y="6990080"/>
          <a:ext cx="12378690" cy="238379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168274</xdr:colOff>
      <xdr:row>20</xdr:row>
      <xdr:rowOff>128270</xdr:rowOff>
    </xdr:from>
    <xdr:to>
      <xdr:col>10</xdr:col>
      <xdr:colOff>1014059</xdr:colOff>
      <xdr:row>27</xdr:row>
      <xdr:rowOff>15875</xdr:rowOff>
    </xdr:to>
    <xdr:graphicFrame>
      <xdr:nvGraphicFramePr>
        <xdr:cNvPr id="11" name="图表 10"/>
        <xdr:cNvGraphicFramePr/>
      </xdr:nvGraphicFramePr>
      <xdr:xfrm>
        <a:off x="350520" y="7096760"/>
        <a:ext cx="11018520" cy="2114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1060249</xdr:colOff>
      <xdr:row>20</xdr:row>
      <xdr:rowOff>21590</xdr:rowOff>
    </xdr:from>
    <xdr:to>
      <xdr:col>21</xdr:col>
      <xdr:colOff>33736</xdr:colOff>
      <xdr:row>27</xdr:row>
      <xdr:rowOff>178435</xdr:rowOff>
    </xdr:to>
    <xdr:sp>
      <xdr:nvSpPr>
        <xdr:cNvPr id="16" name="圆角矩形 15"/>
        <xdr:cNvSpPr/>
      </xdr:nvSpPr>
      <xdr:spPr>
        <a:xfrm>
          <a:off x="12649835" y="6990080"/>
          <a:ext cx="11767820" cy="238379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402992</xdr:colOff>
      <xdr:row>20</xdr:row>
      <xdr:rowOff>158750</xdr:rowOff>
    </xdr:from>
    <xdr:to>
      <xdr:col>20</xdr:col>
      <xdr:colOff>939095</xdr:colOff>
      <xdr:row>27</xdr:row>
      <xdr:rowOff>62230</xdr:rowOff>
    </xdr:to>
    <xdr:graphicFrame>
      <xdr:nvGraphicFramePr>
        <xdr:cNvPr id="12" name="图表 11"/>
        <xdr:cNvGraphicFramePr/>
      </xdr:nvGraphicFramePr>
      <xdr:xfrm>
        <a:off x="13227050" y="7127240"/>
        <a:ext cx="10876280" cy="2130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158114</xdr:colOff>
      <xdr:row>3</xdr:row>
      <xdr:rowOff>71120</xdr:rowOff>
    </xdr:from>
    <xdr:to>
      <xdr:col>3</xdr:col>
      <xdr:colOff>426719</xdr:colOff>
      <xdr:row>3</xdr:row>
      <xdr:rowOff>527685</xdr:rowOff>
    </xdr:to>
    <xdr:sp>
      <xdr:nvSpPr>
        <xdr:cNvPr id="17" name="文本框 16"/>
        <xdr:cNvSpPr txBox="1"/>
      </xdr:nvSpPr>
      <xdr:spPr>
        <a:xfrm>
          <a:off x="1010920" y="1099820"/>
          <a:ext cx="962025" cy="4565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zh-CN" altLang="en-US" sz="1800" b="1">
              <a:solidFill>
                <a:schemeClr val="bg1"/>
              </a:solidFill>
              <a:latin typeface="汉仪雅酷黑 55W" panose="020B0504020202020204" charset="-122"/>
              <a:ea typeface="汉仪雅酷黑 55W" panose="020B0504020202020204" charset="-122"/>
            </a:rPr>
            <a:t>总待收</a:t>
          </a:r>
          <a:endParaRPr lang="zh-CN" altLang="en-US" sz="1800" b="1">
            <a:solidFill>
              <a:schemeClr val="bg1"/>
            </a:solidFill>
            <a:latin typeface="汉仪雅酷黑 55W" panose="020B0504020202020204" charset="-122"/>
            <a:ea typeface="汉仪雅酷黑 55W" panose="020B0504020202020204" charset="-122"/>
          </a:endParaRPr>
        </a:p>
      </xdr:txBody>
    </xdr:sp>
    <xdr:clientData/>
  </xdr:twoCellAnchor>
  <xdr:twoCellAnchor>
    <xdr:from>
      <xdr:col>5</xdr:col>
      <xdr:colOff>638175</xdr:colOff>
      <xdr:row>3</xdr:row>
      <xdr:rowOff>71120</xdr:rowOff>
    </xdr:from>
    <xdr:to>
      <xdr:col>6</xdr:col>
      <xdr:colOff>1044575</xdr:colOff>
      <xdr:row>3</xdr:row>
      <xdr:rowOff>527685</xdr:rowOff>
    </xdr:to>
    <xdr:sp>
      <xdr:nvSpPr>
        <xdr:cNvPr id="18" name="文本框 17"/>
        <xdr:cNvSpPr txBox="1"/>
      </xdr:nvSpPr>
      <xdr:spPr>
        <a:xfrm>
          <a:off x="4653915" y="1099820"/>
          <a:ext cx="1640840" cy="4565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800" b="1">
              <a:solidFill>
                <a:schemeClr val="bg1"/>
              </a:solidFill>
              <a:latin typeface="汉仪雅酷黑 55W" panose="020B0504020202020204" charset="-122"/>
              <a:ea typeface="汉仪雅酷黑 55W" panose="020B0504020202020204" charset="-122"/>
            </a:rPr>
            <a:t>销售台数</a:t>
          </a:r>
          <a:endParaRPr lang="zh-CN" altLang="en-US" sz="1800" b="1">
            <a:solidFill>
              <a:schemeClr val="bg1"/>
            </a:solidFill>
            <a:latin typeface="汉仪雅酷黑 55W" panose="020B0504020202020204" charset="-122"/>
            <a:ea typeface="汉仪雅酷黑 55W" panose="020B0504020202020204" charset="-122"/>
          </a:endParaRPr>
        </a:p>
      </xdr:txBody>
    </xdr:sp>
    <xdr:clientData/>
  </xdr:twoCellAnchor>
  <xdr:twoCellAnchor>
    <xdr:from>
      <xdr:col>9</xdr:col>
      <xdr:colOff>78105</xdr:colOff>
      <xdr:row>3</xdr:row>
      <xdr:rowOff>71120</xdr:rowOff>
    </xdr:from>
    <xdr:to>
      <xdr:col>10</xdr:col>
      <xdr:colOff>307340</xdr:colOff>
      <xdr:row>3</xdr:row>
      <xdr:rowOff>527685</xdr:rowOff>
    </xdr:to>
    <xdr:sp>
      <xdr:nvSpPr>
        <xdr:cNvPr id="19" name="文本框 18"/>
        <xdr:cNvSpPr txBox="1"/>
      </xdr:nvSpPr>
      <xdr:spPr>
        <a:xfrm>
          <a:off x="9199245" y="1099820"/>
          <a:ext cx="1463675" cy="4565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800" b="1">
              <a:solidFill>
                <a:schemeClr val="bg1"/>
              </a:solidFill>
              <a:latin typeface="汉仪雅酷黑 55W" panose="020B0504020202020204" charset="-122"/>
              <a:ea typeface="汉仪雅酷黑 55W" panose="020B0504020202020204" charset="-122"/>
            </a:rPr>
            <a:t>租赁台数</a:t>
          </a:r>
          <a:endParaRPr lang="zh-CN" altLang="en-US" sz="1800" b="1">
            <a:solidFill>
              <a:schemeClr val="bg1"/>
            </a:solidFill>
            <a:latin typeface="汉仪雅酷黑 55W" panose="020B0504020202020204" charset="-122"/>
            <a:ea typeface="汉仪雅酷黑 55W" panose="020B0504020202020204" charset="-122"/>
          </a:endParaRPr>
        </a:p>
      </xdr:txBody>
    </xdr:sp>
    <xdr:clientData/>
  </xdr:twoCellAnchor>
  <xdr:twoCellAnchor>
    <xdr:from>
      <xdr:col>12</xdr:col>
      <xdr:colOff>937260</xdr:colOff>
      <xdr:row>3</xdr:row>
      <xdr:rowOff>71120</xdr:rowOff>
    </xdr:from>
    <xdr:to>
      <xdr:col>14</xdr:col>
      <xdr:colOff>84455</xdr:colOff>
      <xdr:row>3</xdr:row>
      <xdr:rowOff>527685</xdr:rowOff>
    </xdr:to>
    <xdr:sp>
      <xdr:nvSpPr>
        <xdr:cNvPr id="20" name="文本框 19"/>
        <xdr:cNvSpPr txBox="1"/>
      </xdr:nvSpPr>
      <xdr:spPr>
        <a:xfrm>
          <a:off x="13761720" y="1099820"/>
          <a:ext cx="1616075" cy="4565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800" b="1">
              <a:solidFill>
                <a:schemeClr val="bg1"/>
              </a:solidFill>
              <a:latin typeface="汉仪雅酷黑 55W" panose="020B0504020202020204" charset="-122"/>
              <a:ea typeface="汉仪雅酷黑 55W" panose="020B0504020202020204" charset="-122"/>
            </a:rPr>
            <a:t>电商台数</a:t>
          </a:r>
          <a:endParaRPr lang="zh-CN" altLang="en-US" sz="1800" b="1">
            <a:solidFill>
              <a:schemeClr val="bg1"/>
            </a:solidFill>
            <a:latin typeface="汉仪雅酷黑 55W" panose="020B0504020202020204" charset="-122"/>
            <a:ea typeface="汉仪雅酷黑 55W" panose="020B0504020202020204" charset="-122"/>
          </a:endParaRPr>
        </a:p>
      </xdr:txBody>
    </xdr:sp>
    <xdr:clientData/>
  </xdr:twoCellAnchor>
  <xdr:twoCellAnchor>
    <xdr:from>
      <xdr:col>3</xdr:col>
      <xdr:colOff>329565</xdr:colOff>
      <xdr:row>3</xdr:row>
      <xdr:rowOff>57150</xdr:rowOff>
    </xdr:from>
    <xdr:to>
      <xdr:col>4</xdr:col>
      <xdr:colOff>632460</xdr:colOff>
      <xdr:row>3</xdr:row>
      <xdr:rowOff>541655</xdr:rowOff>
    </xdr:to>
    <xdr:sp>
      <xdr:nvSpPr>
        <xdr:cNvPr id="21" name="文本框 20"/>
        <xdr:cNvSpPr txBox="1"/>
      </xdr:nvSpPr>
      <xdr:spPr>
        <a:xfrm>
          <a:off x="1876425" y="1085850"/>
          <a:ext cx="1537335" cy="48450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en-US" sz="1600" b="1" i="0" u="none" strike="noStrike">
              <a:solidFill>
                <a:schemeClr val="bg1"/>
              </a:solidFill>
              <a:ea typeface="汉仪雅酷黑 55W" panose="020B0504020202020204" charset="-122"/>
            </a:rPr>
            <a:t>6320381</a:t>
          </a:r>
          <a:endParaRPr lang="en-US" altLang="en-US" sz="1600" b="1" i="0" u="none" strike="noStrike">
            <a:solidFill>
              <a:schemeClr val="bg1"/>
            </a:solidFill>
            <a:ea typeface="汉仪雅酷黑 55W" panose="020B0504020202020204" charset="-122"/>
          </a:endParaRPr>
        </a:p>
      </xdr:txBody>
    </xdr:sp>
    <xdr:clientData/>
  </xdr:twoCellAnchor>
  <xdr:twoCellAnchor>
    <xdr:from>
      <xdr:col>6</xdr:col>
      <xdr:colOff>491490</xdr:colOff>
      <xdr:row>3</xdr:row>
      <xdr:rowOff>29845</xdr:rowOff>
    </xdr:from>
    <xdr:to>
      <xdr:col>8</xdr:col>
      <xdr:colOff>297180</xdr:colOff>
      <xdr:row>3</xdr:row>
      <xdr:rowOff>568960</xdr:rowOff>
    </xdr:to>
    <xdr:sp>
      <xdr:nvSpPr>
        <xdr:cNvPr id="2" name="文本框 1"/>
        <xdr:cNvSpPr txBox="1"/>
      </xdr:nvSpPr>
      <xdr:spPr>
        <a:xfrm>
          <a:off x="5741670" y="1058545"/>
          <a:ext cx="2358390" cy="53911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marL="0" indent="0" algn="ctr" defTabSz="914400" rtl="0" eaLnBrk="1" latinLnBrk="0" hangingPunct="1">
            <a:buClrTx/>
            <a:buSzTx/>
            <a:buFontTx/>
          </a:pPr>
          <a:r>
            <a:rPr lang="en-US" altLang="en-US" sz="1600" b="1" i="0" u="none" strike="noStrike">
              <a:solidFill>
                <a:schemeClr val="bg1"/>
              </a:solidFill>
              <a:ea typeface="汉仪雅酷黑 55W" panose="020B0504020202020204" charset="-122"/>
              <a:cs typeface="+mn-cs"/>
            </a:rPr>
            <a:t>2693</a:t>
          </a:r>
          <a:endParaRPr lang="en-US" altLang="en-US" sz="1600" b="1" i="0" u="none" strike="noStrike">
            <a:solidFill>
              <a:schemeClr val="bg1"/>
            </a:solidFill>
            <a:ea typeface="汉仪雅酷黑 55W" panose="020B0504020202020204" charset="-122"/>
            <a:cs typeface="+mn-cs"/>
          </a:endParaRPr>
        </a:p>
      </xdr:txBody>
    </xdr:sp>
    <xdr:clientData/>
  </xdr:twoCellAnchor>
  <xdr:twoCellAnchor>
    <xdr:from>
      <xdr:col>10</xdr:col>
      <xdr:colOff>192405</xdr:colOff>
      <xdr:row>3</xdr:row>
      <xdr:rowOff>17145</xdr:rowOff>
    </xdr:from>
    <xdr:to>
      <xdr:col>11</xdr:col>
      <xdr:colOff>969645</xdr:colOff>
      <xdr:row>3</xdr:row>
      <xdr:rowOff>581660</xdr:rowOff>
    </xdr:to>
    <xdr:sp>
      <xdr:nvSpPr>
        <xdr:cNvPr id="3" name="文本框 2"/>
        <xdr:cNvSpPr txBox="1"/>
      </xdr:nvSpPr>
      <xdr:spPr>
        <a:xfrm>
          <a:off x="10547985" y="1045845"/>
          <a:ext cx="2011680" cy="56451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/>
        <a:p>
          <a:pPr algn="ctr">
            <a:buClrTx/>
            <a:buSzTx/>
            <a:buFontTx/>
          </a:pPr>
          <a:r>
            <a:rPr lang="en-US" altLang="en-US" sz="1400" b="1" i="0" u="none" strike="noStrike">
              <a:solidFill>
                <a:schemeClr val="bg1"/>
              </a:solidFill>
              <a:latin typeface="+mj-lt"/>
              <a:ea typeface="汉仪雅酷黑 55W" panose="020B0504020202020204" charset="-122"/>
            </a:rPr>
            <a:t>1945</a:t>
          </a:r>
          <a:endParaRPr lang="en-US" altLang="en-US" sz="1400" b="1" i="0" u="none" strike="noStrike">
            <a:solidFill>
              <a:schemeClr val="bg1"/>
            </a:solidFill>
            <a:latin typeface="+mj-lt"/>
            <a:ea typeface="汉仪雅酷黑 55W" panose="020B0504020202020204" charset="-122"/>
          </a:endParaRPr>
        </a:p>
      </xdr:txBody>
    </xdr:sp>
    <xdr:clientData/>
  </xdr:twoCellAnchor>
  <xdr:twoCellAnchor>
    <xdr:from>
      <xdr:col>13</xdr:col>
      <xdr:colOff>984885</xdr:colOff>
      <xdr:row>3</xdr:row>
      <xdr:rowOff>2857</xdr:rowOff>
    </xdr:from>
    <xdr:to>
      <xdr:col>15</xdr:col>
      <xdr:colOff>513080</xdr:colOff>
      <xdr:row>3</xdr:row>
      <xdr:rowOff>595947</xdr:rowOff>
    </xdr:to>
    <xdr:sp>
      <xdr:nvSpPr>
        <xdr:cNvPr id="4" name="文本框 3"/>
        <xdr:cNvSpPr txBox="1"/>
      </xdr:nvSpPr>
      <xdr:spPr>
        <a:xfrm>
          <a:off x="15043785" y="1031240"/>
          <a:ext cx="1997075" cy="5930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/>
        <a:p>
          <a:pPr algn="ctr">
            <a:buClrTx/>
            <a:buSzTx/>
            <a:buFontTx/>
          </a:pPr>
          <a:r>
            <a:rPr lang="en-US" altLang="en-US" sz="1600" b="1" i="0" u="none" strike="noStrike">
              <a:solidFill>
                <a:schemeClr val="bg1"/>
              </a:solidFill>
              <a:ea typeface="汉仪雅酷黑 55W" panose="020B0504020202020204" charset="-122"/>
            </a:rPr>
            <a:t>748</a:t>
          </a:r>
          <a:endParaRPr lang="en-US" altLang="en-US" sz="1600" b="1" i="0" u="none" strike="noStrike">
            <a:solidFill>
              <a:schemeClr val="bg1"/>
            </a:solidFill>
            <a:ea typeface="汉仪雅酷黑 55W" panose="020B0504020202020204" charset="-122"/>
          </a:endParaRPr>
        </a:p>
      </xdr:txBody>
    </xdr:sp>
    <xdr:clientData/>
  </xdr:twoCellAnchor>
  <xdr:twoCellAnchor>
    <xdr:from>
      <xdr:col>16</xdr:col>
      <xdr:colOff>310515</xdr:colOff>
      <xdr:row>3</xdr:row>
      <xdr:rowOff>23813</xdr:rowOff>
    </xdr:from>
    <xdr:to>
      <xdr:col>18</xdr:col>
      <xdr:colOff>617220</xdr:colOff>
      <xdr:row>4</xdr:row>
      <xdr:rowOff>14288</xdr:rowOff>
    </xdr:to>
    <xdr:sp>
      <xdr:nvSpPr>
        <xdr:cNvPr id="22" name="圆角矩形 7"/>
        <xdr:cNvSpPr/>
      </xdr:nvSpPr>
      <xdr:spPr>
        <a:xfrm>
          <a:off x="18194655" y="1052195"/>
          <a:ext cx="2874645" cy="600075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320040</xdr:colOff>
      <xdr:row>3</xdr:row>
      <xdr:rowOff>71120</xdr:rowOff>
    </xdr:from>
    <xdr:to>
      <xdr:col>17</xdr:col>
      <xdr:colOff>419735</xdr:colOff>
      <xdr:row>3</xdr:row>
      <xdr:rowOff>527685</xdr:rowOff>
    </xdr:to>
    <xdr:sp>
      <xdr:nvSpPr>
        <xdr:cNvPr id="23" name="文本框 22"/>
        <xdr:cNvSpPr txBox="1"/>
      </xdr:nvSpPr>
      <xdr:spPr>
        <a:xfrm>
          <a:off x="18204180" y="1099820"/>
          <a:ext cx="1311275" cy="4565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800" b="1">
              <a:solidFill>
                <a:schemeClr val="bg1"/>
              </a:solidFill>
              <a:latin typeface="汉仪雅酷黑 55W" panose="020B0504020202020204" charset="-122"/>
              <a:ea typeface="汉仪雅酷黑 55W" panose="020B0504020202020204" charset="-122"/>
            </a:rPr>
            <a:t>毛利</a:t>
          </a:r>
          <a:endParaRPr lang="zh-CN" altLang="en-US" sz="1800" b="1">
            <a:solidFill>
              <a:schemeClr val="bg1"/>
            </a:solidFill>
            <a:latin typeface="汉仪雅酷黑 55W" panose="020B0504020202020204" charset="-122"/>
            <a:ea typeface="汉仪雅酷黑 55W" panose="020B0504020202020204" charset="-122"/>
          </a:endParaRPr>
        </a:p>
      </xdr:txBody>
    </xdr:sp>
    <xdr:clientData/>
  </xdr:twoCellAnchor>
  <xdr:twoCellAnchor>
    <xdr:from>
      <xdr:col>17</xdr:col>
      <xdr:colOff>238125</xdr:colOff>
      <xdr:row>3</xdr:row>
      <xdr:rowOff>2857</xdr:rowOff>
    </xdr:from>
    <xdr:to>
      <xdr:col>18</xdr:col>
      <xdr:colOff>574040</xdr:colOff>
      <xdr:row>3</xdr:row>
      <xdr:rowOff>595947</xdr:rowOff>
    </xdr:to>
    <xdr:sp>
      <xdr:nvSpPr>
        <xdr:cNvPr id="24" name="文本框 23"/>
        <xdr:cNvSpPr txBox="1"/>
      </xdr:nvSpPr>
      <xdr:spPr>
        <a:xfrm>
          <a:off x="19333845" y="1031240"/>
          <a:ext cx="1692275" cy="5930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/>
        <a:p>
          <a:pPr algn="ctr">
            <a:buClrTx/>
            <a:buSzTx/>
            <a:buFontTx/>
          </a:pPr>
          <a:r>
            <a:rPr lang="en-US" altLang="en-US" sz="1600" b="1" i="0" u="none" strike="noStrike">
              <a:solidFill>
                <a:schemeClr val="bg1"/>
              </a:solidFill>
              <a:ea typeface="汉仪雅酷黑 55W" panose="020B0504020202020204" charset="-122"/>
            </a:rPr>
            <a:t>3326955</a:t>
          </a:r>
          <a:endParaRPr lang="en-US" altLang="en-US" sz="1600" b="1" i="0" u="none" strike="noStrike">
            <a:solidFill>
              <a:schemeClr val="bg1"/>
            </a:solidFill>
            <a:ea typeface="汉仪雅酷黑 55W" panose="020B0504020202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142874</xdr:colOff>
      <xdr:row>3</xdr:row>
      <xdr:rowOff>23813</xdr:rowOff>
    </xdr:from>
    <xdr:to>
      <xdr:col>4</xdr:col>
      <xdr:colOff>83819</xdr:colOff>
      <xdr:row>4</xdr:row>
      <xdr:rowOff>14288</xdr:rowOff>
    </xdr:to>
    <xdr:sp>
      <xdr:nvSpPr>
        <xdr:cNvPr id="2" name="圆角矩形 4"/>
        <xdr:cNvSpPr/>
      </xdr:nvSpPr>
      <xdr:spPr>
        <a:xfrm>
          <a:off x="325120" y="1052195"/>
          <a:ext cx="2386965" cy="600075"/>
        </a:xfrm>
        <a:prstGeom prst="roundRect">
          <a:avLst/>
        </a:prstGeom>
        <a:solidFill>
          <a:srgbClr val="FE915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53339</xdr:colOff>
      <xdr:row>3</xdr:row>
      <xdr:rowOff>23813</xdr:rowOff>
    </xdr:from>
    <xdr:to>
      <xdr:col>7</xdr:col>
      <xdr:colOff>489584</xdr:colOff>
      <xdr:row>4</xdr:row>
      <xdr:rowOff>14288</xdr:rowOff>
    </xdr:to>
    <xdr:sp>
      <xdr:nvSpPr>
        <xdr:cNvPr id="3" name="圆角矩形 5"/>
        <xdr:cNvSpPr/>
      </xdr:nvSpPr>
      <xdr:spPr>
        <a:xfrm>
          <a:off x="3763645" y="1052195"/>
          <a:ext cx="2600325" cy="600075"/>
        </a:xfrm>
        <a:prstGeom prst="roundRect">
          <a:avLst/>
        </a:prstGeom>
        <a:solidFill>
          <a:srgbClr val="FBD05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422910</xdr:colOff>
      <xdr:row>3</xdr:row>
      <xdr:rowOff>23813</xdr:rowOff>
    </xdr:from>
    <xdr:to>
      <xdr:col>11</xdr:col>
      <xdr:colOff>228600</xdr:colOff>
      <xdr:row>4</xdr:row>
      <xdr:rowOff>14288</xdr:rowOff>
    </xdr:to>
    <xdr:sp>
      <xdr:nvSpPr>
        <xdr:cNvPr id="4" name="圆角矩形 6"/>
        <xdr:cNvSpPr/>
      </xdr:nvSpPr>
      <xdr:spPr>
        <a:xfrm>
          <a:off x="7379970" y="1052195"/>
          <a:ext cx="3051810" cy="600075"/>
        </a:xfrm>
        <a:prstGeom prst="roundRect">
          <a:avLst/>
        </a:prstGeom>
        <a:solidFill>
          <a:srgbClr val="FF808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295275</xdr:colOff>
      <xdr:row>3</xdr:row>
      <xdr:rowOff>23813</xdr:rowOff>
    </xdr:from>
    <xdr:to>
      <xdr:col>14</xdr:col>
      <xdr:colOff>1005840</xdr:colOff>
      <xdr:row>4</xdr:row>
      <xdr:rowOff>14288</xdr:rowOff>
    </xdr:to>
    <xdr:sp>
      <xdr:nvSpPr>
        <xdr:cNvPr id="5" name="圆角矩形 7"/>
        <xdr:cNvSpPr/>
      </xdr:nvSpPr>
      <xdr:spPr>
        <a:xfrm>
          <a:off x="11580495" y="1052195"/>
          <a:ext cx="2874645" cy="600075"/>
        </a:xfrm>
        <a:prstGeom prst="roundRect">
          <a:avLst/>
        </a:prstGeom>
        <a:solidFill>
          <a:srgbClr val="FEB17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114299</xdr:colOff>
      <xdr:row>11</xdr:row>
      <xdr:rowOff>85725</xdr:rowOff>
    </xdr:from>
    <xdr:to>
      <xdr:col>10</xdr:col>
      <xdr:colOff>473704</xdr:colOff>
      <xdr:row>19</xdr:row>
      <xdr:rowOff>70485</xdr:rowOff>
    </xdr:to>
    <xdr:sp>
      <xdr:nvSpPr>
        <xdr:cNvPr id="6" name="圆角矩形 12"/>
        <xdr:cNvSpPr/>
      </xdr:nvSpPr>
      <xdr:spPr>
        <a:xfrm>
          <a:off x="113665" y="4191000"/>
          <a:ext cx="9480550" cy="252984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140970</xdr:colOff>
      <xdr:row>11</xdr:row>
      <xdr:rowOff>244475</xdr:rowOff>
    </xdr:from>
    <xdr:to>
      <xdr:col>9</xdr:col>
      <xdr:colOff>883656</xdr:colOff>
      <xdr:row>18</xdr:row>
      <xdr:rowOff>227330</xdr:rowOff>
    </xdr:to>
    <xdr:graphicFrame>
      <xdr:nvGraphicFramePr>
        <xdr:cNvPr id="7" name="图表 6"/>
        <xdr:cNvGraphicFramePr/>
      </xdr:nvGraphicFramePr>
      <xdr:xfrm>
        <a:off x="323850" y="4349750"/>
        <a:ext cx="8598535" cy="220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609601</xdr:colOff>
      <xdr:row>11</xdr:row>
      <xdr:rowOff>74930</xdr:rowOff>
    </xdr:from>
    <xdr:to>
      <xdr:col>19</xdr:col>
      <xdr:colOff>5081</xdr:colOff>
      <xdr:row>19</xdr:row>
      <xdr:rowOff>80645</xdr:rowOff>
    </xdr:to>
    <xdr:sp>
      <xdr:nvSpPr>
        <xdr:cNvPr id="8" name="圆角矩形 13"/>
        <xdr:cNvSpPr/>
      </xdr:nvSpPr>
      <xdr:spPr>
        <a:xfrm>
          <a:off x="9730740" y="4180205"/>
          <a:ext cx="9827260" cy="255079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231886</xdr:colOff>
      <xdr:row>11</xdr:row>
      <xdr:rowOff>83185</xdr:rowOff>
    </xdr:from>
    <xdr:to>
      <xdr:col>18</xdr:col>
      <xdr:colOff>1150620</xdr:colOff>
      <xdr:row>19</xdr:row>
      <xdr:rowOff>12065</xdr:rowOff>
    </xdr:to>
    <xdr:graphicFrame>
      <xdr:nvGraphicFramePr>
        <xdr:cNvPr id="9" name="图表 8"/>
        <xdr:cNvGraphicFramePr/>
      </xdr:nvGraphicFramePr>
      <xdr:xfrm>
        <a:off x="10434955" y="4188460"/>
        <a:ext cx="8912225" cy="247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20</xdr:row>
      <xdr:rowOff>21590</xdr:rowOff>
    </xdr:from>
    <xdr:to>
      <xdr:col>10</xdr:col>
      <xdr:colOff>480060</xdr:colOff>
      <xdr:row>27</xdr:row>
      <xdr:rowOff>178435</xdr:rowOff>
    </xdr:to>
    <xdr:sp>
      <xdr:nvSpPr>
        <xdr:cNvPr id="10" name="圆角矩形 14"/>
        <xdr:cNvSpPr/>
      </xdr:nvSpPr>
      <xdr:spPr>
        <a:xfrm>
          <a:off x="133350" y="6990080"/>
          <a:ext cx="9467850" cy="238379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168274</xdr:colOff>
      <xdr:row>20</xdr:row>
      <xdr:rowOff>128270</xdr:rowOff>
    </xdr:from>
    <xdr:to>
      <xdr:col>9</xdr:col>
      <xdr:colOff>857949</xdr:colOff>
      <xdr:row>27</xdr:row>
      <xdr:rowOff>15875</xdr:rowOff>
    </xdr:to>
    <xdr:graphicFrame>
      <xdr:nvGraphicFramePr>
        <xdr:cNvPr id="11" name="图表 10"/>
        <xdr:cNvGraphicFramePr/>
      </xdr:nvGraphicFramePr>
      <xdr:xfrm>
        <a:off x="350520" y="7096760"/>
        <a:ext cx="8546465" cy="2114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611827</xdr:colOff>
      <xdr:row>20</xdr:row>
      <xdr:rowOff>21590</xdr:rowOff>
    </xdr:from>
    <xdr:to>
      <xdr:col>19</xdr:col>
      <xdr:colOff>71120</xdr:colOff>
      <xdr:row>27</xdr:row>
      <xdr:rowOff>178435</xdr:rowOff>
    </xdr:to>
    <xdr:sp>
      <xdr:nvSpPr>
        <xdr:cNvPr id="12" name="圆角矩形 15"/>
        <xdr:cNvSpPr/>
      </xdr:nvSpPr>
      <xdr:spPr>
        <a:xfrm>
          <a:off x="9732645" y="6990080"/>
          <a:ext cx="9891395" cy="238379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978946</xdr:colOff>
      <xdr:row>20</xdr:row>
      <xdr:rowOff>158750</xdr:rowOff>
    </xdr:from>
    <xdr:to>
      <xdr:col>18</xdr:col>
      <xdr:colOff>1226186</xdr:colOff>
      <xdr:row>27</xdr:row>
      <xdr:rowOff>62230</xdr:rowOff>
    </xdr:to>
    <xdr:graphicFrame>
      <xdr:nvGraphicFramePr>
        <xdr:cNvPr id="13" name="图表 12"/>
        <xdr:cNvGraphicFramePr/>
      </xdr:nvGraphicFramePr>
      <xdr:xfrm>
        <a:off x="10099675" y="7127240"/>
        <a:ext cx="9323070" cy="2130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180974</xdr:colOff>
      <xdr:row>3</xdr:row>
      <xdr:rowOff>71120</xdr:rowOff>
    </xdr:from>
    <xdr:to>
      <xdr:col>2</xdr:col>
      <xdr:colOff>472439</xdr:colOff>
      <xdr:row>3</xdr:row>
      <xdr:rowOff>527685</xdr:rowOff>
    </xdr:to>
    <xdr:sp>
      <xdr:nvSpPr>
        <xdr:cNvPr id="14" name="文本框 13"/>
        <xdr:cNvSpPr txBox="1"/>
      </xdr:nvSpPr>
      <xdr:spPr>
        <a:xfrm>
          <a:off x="363220" y="1099820"/>
          <a:ext cx="962025" cy="4565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zh-CN" altLang="en-US" sz="1800" b="1">
              <a:solidFill>
                <a:schemeClr val="bg1"/>
              </a:solidFill>
              <a:latin typeface="汉仪雅酷黑 55W" panose="020B0504020202020204" charset="-122"/>
              <a:ea typeface="汉仪雅酷黑 55W" panose="020B0504020202020204" charset="-122"/>
            </a:rPr>
            <a:t>总待收</a:t>
          </a:r>
          <a:endParaRPr lang="zh-CN" altLang="en-US" sz="1800" b="1">
            <a:solidFill>
              <a:schemeClr val="bg1"/>
            </a:solidFill>
            <a:latin typeface="汉仪雅酷黑 55W" panose="020B0504020202020204" charset="-122"/>
            <a:ea typeface="汉仪雅酷黑 55W" panose="020B0504020202020204" charset="-122"/>
          </a:endParaRPr>
        </a:p>
      </xdr:txBody>
    </xdr:sp>
    <xdr:clientData/>
  </xdr:twoCellAnchor>
  <xdr:twoCellAnchor>
    <xdr:from>
      <xdr:col>4</xdr:col>
      <xdr:colOff>1072515</xdr:colOff>
      <xdr:row>3</xdr:row>
      <xdr:rowOff>71120</xdr:rowOff>
    </xdr:from>
    <xdr:to>
      <xdr:col>6</xdr:col>
      <xdr:colOff>396875</xdr:colOff>
      <xdr:row>3</xdr:row>
      <xdr:rowOff>527685</xdr:rowOff>
    </xdr:to>
    <xdr:sp>
      <xdr:nvSpPr>
        <xdr:cNvPr id="15" name="文本框 14"/>
        <xdr:cNvSpPr txBox="1"/>
      </xdr:nvSpPr>
      <xdr:spPr>
        <a:xfrm>
          <a:off x="3701415" y="1099820"/>
          <a:ext cx="1488440" cy="4565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800" b="1">
              <a:solidFill>
                <a:schemeClr val="bg1"/>
              </a:solidFill>
              <a:latin typeface="汉仪雅酷黑 55W" panose="020B0504020202020204" charset="-122"/>
              <a:ea typeface="汉仪雅酷黑 55W" panose="020B0504020202020204" charset="-122"/>
            </a:rPr>
            <a:t>销售台数</a:t>
          </a:r>
          <a:endParaRPr lang="zh-CN" altLang="en-US" sz="1800" b="1">
            <a:solidFill>
              <a:schemeClr val="bg1"/>
            </a:solidFill>
            <a:latin typeface="汉仪雅酷黑 55W" panose="020B0504020202020204" charset="-122"/>
            <a:ea typeface="汉仪雅酷黑 55W" panose="020B0504020202020204" charset="-122"/>
          </a:endParaRPr>
        </a:p>
      </xdr:txBody>
    </xdr:sp>
    <xdr:clientData/>
  </xdr:twoCellAnchor>
  <xdr:twoCellAnchor>
    <xdr:from>
      <xdr:col>8</xdr:col>
      <xdr:colOff>451485</xdr:colOff>
      <xdr:row>3</xdr:row>
      <xdr:rowOff>71120</xdr:rowOff>
    </xdr:from>
    <xdr:to>
      <xdr:col>9</xdr:col>
      <xdr:colOff>680720</xdr:colOff>
      <xdr:row>3</xdr:row>
      <xdr:rowOff>527685</xdr:rowOff>
    </xdr:to>
    <xdr:sp>
      <xdr:nvSpPr>
        <xdr:cNvPr id="16" name="文本框 15"/>
        <xdr:cNvSpPr txBox="1"/>
      </xdr:nvSpPr>
      <xdr:spPr>
        <a:xfrm>
          <a:off x="7408545" y="1099820"/>
          <a:ext cx="1311275" cy="4565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800" b="1">
              <a:solidFill>
                <a:schemeClr val="bg1"/>
              </a:solidFill>
              <a:latin typeface="汉仪雅酷黑 55W" panose="020B0504020202020204" charset="-122"/>
              <a:ea typeface="汉仪雅酷黑 55W" panose="020B0504020202020204" charset="-122"/>
            </a:rPr>
            <a:t>租赁台数</a:t>
          </a:r>
          <a:endParaRPr lang="zh-CN" altLang="en-US" sz="1800" b="1">
            <a:solidFill>
              <a:schemeClr val="bg1"/>
            </a:solidFill>
            <a:latin typeface="汉仪雅酷黑 55W" panose="020B0504020202020204" charset="-122"/>
            <a:ea typeface="汉仪雅酷黑 55W" panose="020B0504020202020204" charset="-122"/>
          </a:endParaRPr>
        </a:p>
      </xdr:txBody>
    </xdr:sp>
    <xdr:clientData/>
  </xdr:twoCellAnchor>
  <xdr:twoCellAnchor>
    <xdr:from>
      <xdr:col>12</xdr:col>
      <xdr:colOff>304800</xdr:colOff>
      <xdr:row>3</xdr:row>
      <xdr:rowOff>71120</xdr:rowOff>
    </xdr:from>
    <xdr:to>
      <xdr:col>13</xdr:col>
      <xdr:colOff>534035</xdr:colOff>
      <xdr:row>3</xdr:row>
      <xdr:rowOff>527685</xdr:rowOff>
    </xdr:to>
    <xdr:sp>
      <xdr:nvSpPr>
        <xdr:cNvPr id="17" name="文本框 16"/>
        <xdr:cNvSpPr txBox="1"/>
      </xdr:nvSpPr>
      <xdr:spPr>
        <a:xfrm>
          <a:off x="11590020" y="1099820"/>
          <a:ext cx="1311275" cy="4565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800" b="1">
              <a:solidFill>
                <a:schemeClr val="bg1"/>
              </a:solidFill>
              <a:latin typeface="汉仪雅酷黑 55W" panose="020B0504020202020204" charset="-122"/>
              <a:ea typeface="汉仪雅酷黑 55W" panose="020B0504020202020204" charset="-122"/>
            </a:rPr>
            <a:t>电商台数</a:t>
          </a:r>
          <a:endParaRPr lang="zh-CN" altLang="en-US" sz="1800" b="1">
            <a:solidFill>
              <a:schemeClr val="bg1"/>
            </a:solidFill>
            <a:latin typeface="汉仪雅酷黑 55W" panose="020B0504020202020204" charset="-122"/>
            <a:ea typeface="汉仪雅酷黑 55W" panose="020B0504020202020204" charset="-122"/>
          </a:endParaRPr>
        </a:p>
      </xdr:txBody>
    </xdr:sp>
    <xdr:clientData/>
  </xdr:twoCellAnchor>
  <xdr:twoCellAnchor>
    <xdr:from>
      <xdr:col>2</xdr:col>
      <xdr:colOff>375285</xdr:colOff>
      <xdr:row>3</xdr:row>
      <xdr:rowOff>57150</xdr:rowOff>
    </xdr:from>
    <xdr:to>
      <xdr:col>3</xdr:col>
      <xdr:colOff>1066800</xdr:colOff>
      <xdr:row>3</xdr:row>
      <xdr:rowOff>541655</xdr:rowOff>
    </xdr:to>
    <xdr:sp>
      <xdr:nvSpPr>
        <xdr:cNvPr id="18" name="文本框 17"/>
        <xdr:cNvSpPr txBox="1"/>
      </xdr:nvSpPr>
      <xdr:spPr>
        <a:xfrm>
          <a:off x="1228725" y="1085850"/>
          <a:ext cx="1384935" cy="48450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en-US" sz="1600" b="1" i="0" u="none" strike="noStrike">
              <a:solidFill>
                <a:schemeClr val="bg1"/>
              </a:solidFill>
              <a:ea typeface="汉仪雅酷黑 55W" panose="020B0504020202020204" charset="-122"/>
            </a:rPr>
            <a:t>2445443</a:t>
          </a:r>
          <a:endParaRPr lang="en-US" altLang="en-US" sz="1600" b="1" i="0" u="none" strike="noStrike">
            <a:solidFill>
              <a:schemeClr val="bg1"/>
            </a:solidFill>
            <a:ea typeface="汉仪雅酷黑 55W" panose="020B0504020202020204" charset="-122"/>
          </a:endParaRPr>
        </a:p>
      </xdr:txBody>
    </xdr:sp>
    <xdr:clientData/>
  </xdr:twoCellAnchor>
  <xdr:twoCellAnchor>
    <xdr:from>
      <xdr:col>5</xdr:col>
      <xdr:colOff>925830</xdr:colOff>
      <xdr:row>3</xdr:row>
      <xdr:rowOff>29845</xdr:rowOff>
    </xdr:from>
    <xdr:to>
      <xdr:col>7</xdr:col>
      <xdr:colOff>731520</xdr:colOff>
      <xdr:row>3</xdr:row>
      <xdr:rowOff>568960</xdr:rowOff>
    </xdr:to>
    <xdr:sp>
      <xdr:nvSpPr>
        <xdr:cNvPr id="19" name="文本框 18"/>
        <xdr:cNvSpPr txBox="1"/>
      </xdr:nvSpPr>
      <xdr:spPr>
        <a:xfrm>
          <a:off x="4636770" y="1058545"/>
          <a:ext cx="1969770" cy="53911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marL="0" indent="0" algn="ctr" defTabSz="914400" rtl="0" eaLnBrk="1" latinLnBrk="0" hangingPunct="1">
            <a:buClrTx/>
            <a:buSzTx/>
            <a:buFontTx/>
          </a:pPr>
          <a:r>
            <a:rPr lang="en-US" altLang="en-US" sz="1600" b="1" i="0" u="none" strike="noStrike">
              <a:solidFill>
                <a:schemeClr val="bg1"/>
              </a:solidFill>
              <a:ea typeface="汉仪雅酷黑 55W" panose="020B0504020202020204" charset="-122"/>
              <a:cs typeface="+mn-cs"/>
            </a:rPr>
            <a:t>693</a:t>
          </a:r>
          <a:endParaRPr lang="en-US" altLang="en-US" sz="1600" b="1" i="0" u="none" strike="noStrike">
            <a:solidFill>
              <a:schemeClr val="bg1"/>
            </a:solidFill>
            <a:ea typeface="汉仪雅酷黑 55W" panose="020B0504020202020204" charset="-122"/>
            <a:cs typeface="+mn-cs"/>
          </a:endParaRPr>
        </a:p>
      </xdr:txBody>
    </xdr:sp>
    <xdr:clientData/>
  </xdr:twoCellAnchor>
  <xdr:twoCellAnchor>
    <xdr:from>
      <xdr:col>9</xdr:col>
      <xdr:colOff>565785</xdr:colOff>
      <xdr:row>3</xdr:row>
      <xdr:rowOff>17145</xdr:rowOff>
    </xdr:from>
    <xdr:to>
      <xdr:col>11</xdr:col>
      <xdr:colOff>260985</xdr:colOff>
      <xdr:row>3</xdr:row>
      <xdr:rowOff>581660</xdr:rowOff>
    </xdr:to>
    <xdr:sp>
      <xdr:nvSpPr>
        <xdr:cNvPr id="20" name="文本框 19"/>
        <xdr:cNvSpPr txBox="1"/>
      </xdr:nvSpPr>
      <xdr:spPr>
        <a:xfrm>
          <a:off x="8604885" y="1045845"/>
          <a:ext cx="1859280" cy="56451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/>
        <a:p>
          <a:pPr algn="ctr">
            <a:buClrTx/>
            <a:buSzTx/>
            <a:buFontTx/>
          </a:pPr>
          <a:r>
            <a:rPr lang="en-US" altLang="en-US" sz="1600" b="1" i="0" u="none" strike="noStrike">
              <a:solidFill>
                <a:schemeClr val="bg1"/>
              </a:solidFill>
              <a:ea typeface="汉仪雅酷黑 55W" panose="020B0504020202020204" charset="-122"/>
            </a:rPr>
            <a:t>571</a:t>
          </a:r>
          <a:endParaRPr lang="en-US" altLang="en-US" sz="1400" b="1" i="0" u="none" strike="noStrike">
            <a:solidFill>
              <a:schemeClr val="bg1"/>
            </a:solidFill>
            <a:latin typeface="+mj-lt"/>
            <a:ea typeface="汉仪雅酷黑 55W" panose="020B0504020202020204" charset="-122"/>
          </a:endParaRPr>
        </a:p>
      </xdr:txBody>
    </xdr:sp>
    <xdr:clientData/>
  </xdr:twoCellAnchor>
  <xdr:twoCellAnchor>
    <xdr:from>
      <xdr:col>13</xdr:col>
      <xdr:colOff>352425</xdr:colOff>
      <xdr:row>3</xdr:row>
      <xdr:rowOff>2857</xdr:rowOff>
    </xdr:from>
    <xdr:to>
      <xdr:col>14</xdr:col>
      <xdr:colOff>962660</xdr:colOff>
      <xdr:row>3</xdr:row>
      <xdr:rowOff>595947</xdr:rowOff>
    </xdr:to>
    <xdr:sp>
      <xdr:nvSpPr>
        <xdr:cNvPr id="21" name="文本框 20"/>
        <xdr:cNvSpPr txBox="1"/>
      </xdr:nvSpPr>
      <xdr:spPr>
        <a:xfrm>
          <a:off x="12719685" y="1031240"/>
          <a:ext cx="1692275" cy="5930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/>
        <a:p>
          <a:pPr algn="ctr">
            <a:buClrTx/>
            <a:buSzTx/>
            <a:buFontTx/>
          </a:pPr>
          <a:r>
            <a:rPr lang="en-US" altLang="en-US" sz="1600" b="1" i="0" u="none" strike="noStrike">
              <a:solidFill>
                <a:schemeClr val="bg1"/>
              </a:solidFill>
              <a:ea typeface="汉仪雅酷黑 55W" panose="020B0504020202020204" charset="-122"/>
            </a:rPr>
            <a:t>122</a:t>
          </a:r>
          <a:endParaRPr lang="en-US" altLang="en-US" sz="1600" b="1" i="0" u="none" strike="noStrike">
            <a:solidFill>
              <a:schemeClr val="bg1"/>
            </a:solidFill>
            <a:ea typeface="汉仪雅酷黑 55W" panose="020B0504020202020204" charset="-122"/>
          </a:endParaRPr>
        </a:p>
      </xdr:txBody>
    </xdr:sp>
    <xdr:clientData/>
  </xdr:twoCellAnchor>
  <xdr:twoCellAnchor>
    <xdr:from>
      <xdr:col>15</xdr:col>
      <xdr:colOff>845820</xdr:colOff>
      <xdr:row>3</xdr:row>
      <xdr:rowOff>28576</xdr:rowOff>
    </xdr:from>
    <xdr:to>
      <xdr:col>17</xdr:col>
      <xdr:colOff>1152525</xdr:colOff>
      <xdr:row>4</xdr:row>
      <xdr:rowOff>19051</xdr:rowOff>
    </xdr:to>
    <xdr:sp>
      <xdr:nvSpPr>
        <xdr:cNvPr id="25" name="圆角矩形 7"/>
        <xdr:cNvSpPr/>
      </xdr:nvSpPr>
      <xdr:spPr>
        <a:xfrm>
          <a:off x="15377160" y="1057275"/>
          <a:ext cx="2615565" cy="600075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855345</xdr:colOff>
      <xdr:row>3</xdr:row>
      <xdr:rowOff>75883</xdr:rowOff>
    </xdr:from>
    <xdr:to>
      <xdr:col>16</xdr:col>
      <xdr:colOff>810260</xdr:colOff>
      <xdr:row>3</xdr:row>
      <xdr:rowOff>532448</xdr:rowOff>
    </xdr:to>
    <xdr:sp>
      <xdr:nvSpPr>
        <xdr:cNvPr id="26" name="文本框 25"/>
        <xdr:cNvSpPr txBox="1"/>
      </xdr:nvSpPr>
      <xdr:spPr>
        <a:xfrm>
          <a:off x="15386685" y="1104265"/>
          <a:ext cx="1052195" cy="4565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800" b="1">
              <a:solidFill>
                <a:schemeClr val="bg1"/>
              </a:solidFill>
              <a:latin typeface="汉仪雅酷黑 55W" panose="020B0504020202020204" charset="-122"/>
              <a:ea typeface="汉仪雅酷黑 55W" panose="020B0504020202020204" charset="-122"/>
            </a:rPr>
            <a:t>毛利</a:t>
          </a:r>
          <a:endParaRPr lang="zh-CN" altLang="en-US" sz="1800" b="1">
            <a:solidFill>
              <a:schemeClr val="bg1"/>
            </a:solidFill>
            <a:latin typeface="汉仪雅酷黑 55W" panose="020B0504020202020204" charset="-122"/>
            <a:ea typeface="汉仪雅酷黑 55W" panose="020B0504020202020204" charset="-122"/>
          </a:endParaRPr>
        </a:p>
      </xdr:txBody>
    </xdr:sp>
    <xdr:clientData/>
  </xdr:twoCellAnchor>
  <xdr:twoCellAnchor>
    <xdr:from>
      <xdr:col>16</xdr:col>
      <xdr:colOff>628650</xdr:colOff>
      <xdr:row>3</xdr:row>
      <xdr:rowOff>7620</xdr:rowOff>
    </xdr:from>
    <xdr:to>
      <xdr:col>17</xdr:col>
      <xdr:colOff>1109345</xdr:colOff>
      <xdr:row>3</xdr:row>
      <xdr:rowOff>600710</xdr:rowOff>
    </xdr:to>
    <xdr:sp>
      <xdr:nvSpPr>
        <xdr:cNvPr id="27" name="文本框 26"/>
        <xdr:cNvSpPr txBox="1"/>
      </xdr:nvSpPr>
      <xdr:spPr>
        <a:xfrm>
          <a:off x="16257270" y="1036320"/>
          <a:ext cx="1692275" cy="5930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/>
        <a:p>
          <a:pPr algn="ctr">
            <a:buClrTx/>
            <a:buSzTx/>
            <a:buFontTx/>
          </a:pPr>
          <a:r>
            <a:rPr lang="en-US" altLang="en-US" sz="1600" b="1" i="0" u="none" strike="noStrike">
              <a:solidFill>
                <a:schemeClr val="bg1"/>
              </a:solidFill>
              <a:ea typeface="汉仪雅酷黑 55W" panose="020B0504020202020204" charset="-122"/>
            </a:rPr>
            <a:t>-476274</a:t>
          </a:r>
          <a:endParaRPr lang="en-US" altLang="en-US" sz="1600" b="1" i="0" u="none" strike="noStrike">
            <a:solidFill>
              <a:schemeClr val="bg1"/>
            </a:solidFill>
            <a:ea typeface="汉仪雅酷黑 55W" panose="020B0504020202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32"/>
  <sheetViews>
    <sheetView showGridLines="0" zoomScale="71" zoomScaleNormal="71" topLeftCell="B1" workbookViewId="0">
      <selection activeCell="U3" sqref="U3"/>
    </sheetView>
  </sheetViews>
  <sheetFormatPr defaultColWidth="9" defaultRowHeight="25.05" customHeight="1"/>
  <cols>
    <col min="1" max="1" width="2.66666666666667" style="1" customWidth="1"/>
    <col min="2" max="2" width="9.77777777777778" style="1" customWidth="1"/>
    <col min="3" max="3" width="10.1111111111111" style="1" customWidth="1"/>
    <col min="4" max="7" width="18" style="1" customWidth="1"/>
    <col min="8" max="9" width="19.2222222222222" style="1" customWidth="1"/>
    <col min="10" max="15" width="18" style="1" customWidth="1"/>
    <col min="16" max="16" width="19.7777777777778" style="1" customWidth="1"/>
    <col min="17" max="17" width="17.6666666666667" style="1" customWidth="1"/>
    <col min="18" max="20" width="19.7777777777778" style="1" customWidth="1"/>
    <col min="21" max="21" width="17.7777777777778" style="1" customWidth="1"/>
    <col min="22" max="22" width="3.22222222222222" style="1" customWidth="1"/>
    <col min="23" max="16384" width="9" style="1"/>
  </cols>
  <sheetData>
    <row r="1" ht="16.95" customHeight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43.05" customHeight="1" spans="1:22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  <c r="T2" s="2"/>
      <c r="U2" s="2"/>
      <c r="V2" s="2"/>
    </row>
    <row r="3" ht="21" customHeight="1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48" customHeight="1" spans="1:2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3.95" customHeight="1" spans="1:2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customHeight="1" spans="1:22">
      <c r="A6" s="2"/>
      <c r="B6" s="4" t="s">
        <v>1</v>
      </c>
      <c r="C6" s="5"/>
      <c r="D6" s="6" t="s">
        <v>2</v>
      </c>
      <c r="E6" s="6" t="s">
        <v>3</v>
      </c>
      <c r="F6" s="6" t="s">
        <v>4</v>
      </c>
      <c r="G6" s="6" t="s">
        <v>5</v>
      </c>
      <c r="H6" s="6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11</v>
      </c>
      <c r="N6" s="6" t="s">
        <v>12</v>
      </c>
      <c r="O6" s="6" t="s">
        <v>13</v>
      </c>
      <c r="P6" s="6" t="s">
        <v>2</v>
      </c>
      <c r="Q6" s="6" t="s">
        <v>3</v>
      </c>
      <c r="R6" s="6" t="s">
        <v>4</v>
      </c>
      <c r="S6" s="6" t="s">
        <v>5</v>
      </c>
      <c r="T6" s="6" t="s">
        <v>6</v>
      </c>
      <c r="U6" s="6" t="s">
        <v>10</v>
      </c>
      <c r="V6" s="2"/>
    </row>
    <row r="7" ht="31.05" customHeight="1" spans="1:22">
      <c r="A7" s="2"/>
      <c r="B7" s="7" t="s">
        <v>14</v>
      </c>
      <c r="C7" s="8"/>
      <c r="D7" s="9">
        <v>4333534.01</v>
      </c>
      <c r="E7" s="9">
        <v>7062817.89</v>
      </c>
      <c r="F7" s="9">
        <v>9460608.77</v>
      </c>
      <c r="G7" s="9">
        <v>10310509.59</v>
      </c>
      <c r="H7" s="9">
        <v>10187510.09</v>
      </c>
      <c r="I7" s="9">
        <v>9436472</v>
      </c>
      <c r="J7" s="9">
        <v>9804966.54</v>
      </c>
      <c r="K7" s="9">
        <v>9405181.74</v>
      </c>
      <c r="L7" s="9">
        <v>9107277.51</v>
      </c>
      <c r="M7" s="17">
        <v>7719908.11</v>
      </c>
      <c r="N7" s="17">
        <v>6630014.35</v>
      </c>
      <c r="O7" s="17">
        <v>5855315.49</v>
      </c>
      <c r="P7" s="17">
        <v>7386694.23</v>
      </c>
      <c r="Q7" s="17">
        <v>7838192.92</v>
      </c>
      <c r="R7" s="17">
        <v>8539752.76</v>
      </c>
      <c r="S7" s="17">
        <v>8536696.26</v>
      </c>
      <c r="T7" s="17">
        <v>7731049</v>
      </c>
      <c r="U7" s="17">
        <v>6320381.4</v>
      </c>
      <c r="V7" s="2"/>
    </row>
    <row r="8" ht="31.05" customHeight="1" spans="1:22">
      <c r="A8" s="2"/>
      <c r="B8" s="10" t="s">
        <v>15</v>
      </c>
      <c r="C8" s="11"/>
      <c r="D8" s="12">
        <v>2270179.61</v>
      </c>
      <c r="E8" s="12">
        <v>3614894.48</v>
      </c>
      <c r="F8" s="12">
        <v>4802256.23</v>
      </c>
      <c r="G8" s="12">
        <v>4843545.74</v>
      </c>
      <c r="H8" s="12">
        <v>4001790.47</v>
      </c>
      <c r="I8" s="12">
        <v>2962731.37</v>
      </c>
      <c r="J8" s="12">
        <v>2461463.51</v>
      </c>
      <c r="K8" s="12">
        <v>2487230.61</v>
      </c>
      <c r="L8" s="12">
        <v>1364884.58</v>
      </c>
      <c r="M8" s="18">
        <v>41221.72</v>
      </c>
      <c r="N8" s="18">
        <v>-805096.4</v>
      </c>
      <c r="O8" s="19">
        <v>-1823270.9</v>
      </c>
      <c r="P8" s="19">
        <v>-1073756.65</v>
      </c>
      <c r="Q8" s="19">
        <v>-479128</v>
      </c>
      <c r="R8" s="19">
        <v>-873673.7014</v>
      </c>
      <c r="S8" s="19">
        <v>-660435.065</v>
      </c>
      <c r="T8" s="19">
        <v>-2080831</v>
      </c>
      <c r="U8" s="17">
        <v>-3244160.66064652</v>
      </c>
      <c r="V8" s="2"/>
    </row>
    <row r="9" ht="31.05" customHeight="1" spans="1:22">
      <c r="A9" s="2"/>
      <c r="B9" s="7" t="s">
        <v>16</v>
      </c>
      <c r="C9" s="8"/>
      <c r="D9" s="12">
        <v>164727.99</v>
      </c>
      <c r="E9" s="12">
        <v>247027.79</v>
      </c>
      <c r="F9" s="12">
        <v>655892.89</v>
      </c>
      <c r="G9" s="12">
        <v>1016656.02</v>
      </c>
      <c r="H9" s="12">
        <v>1142306.89</v>
      </c>
      <c r="I9" s="12">
        <v>1381899.76</v>
      </c>
      <c r="J9" s="12">
        <v>1437090.09</v>
      </c>
      <c r="K9" s="12">
        <v>1838192.59</v>
      </c>
      <c r="L9" s="12">
        <v>2074889.43</v>
      </c>
      <c r="M9" s="18">
        <v>3155408.59</v>
      </c>
      <c r="N9" s="18">
        <v>3615068.43</v>
      </c>
      <c r="O9" s="18">
        <v>3615068.43</v>
      </c>
      <c r="P9" s="18">
        <v>3474639.91</v>
      </c>
      <c r="Q9" s="18">
        <v>3915761.79</v>
      </c>
      <c r="R9" s="18">
        <v>4107004.82</v>
      </c>
      <c r="S9" s="18">
        <v>4107004.82</v>
      </c>
      <c r="T9" s="18">
        <v>4127999.52</v>
      </c>
      <c r="U9" s="17">
        <v>6237586.4</v>
      </c>
      <c r="V9" s="2"/>
    </row>
    <row r="10" ht="31.05" customHeight="1" spans="1:22">
      <c r="A10" s="2"/>
      <c r="B10" s="7" t="s">
        <v>17</v>
      </c>
      <c r="C10" s="8"/>
      <c r="D10" s="14">
        <f t="shared" ref="D10:L10" si="0">D7-D8-D9</f>
        <v>1898626.41</v>
      </c>
      <c r="E10" s="14">
        <f t="shared" si="0"/>
        <v>3200895.62</v>
      </c>
      <c r="F10" s="14">
        <f t="shared" si="0"/>
        <v>4002459.65</v>
      </c>
      <c r="G10" s="14">
        <f t="shared" si="0"/>
        <v>4450307.83</v>
      </c>
      <c r="H10" s="14">
        <f t="shared" si="0"/>
        <v>5043412.73</v>
      </c>
      <c r="I10" s="14">
        <f t="shared" si="0"/>
        <v>5091840.87</v>
      </c>
      <c r="J10" s="14">
        <f t="shared" si="0"/>
        <v>5906412.94</v>
      </c>
      <c r="K10" s="14">
        <f t="shared" si="0"/>
        <v>5079758.54</v>
      </c>
      <c r="L10" s="14">
        <f t="shared" si="0"/>
        <v>5667503.5</v>
      </c>
      <c r="M10" s="20">
        <f t="shared" ref="M10:T10" si="1">M7-M8-M9</f>
        <v>4523277.8</v>
      </c>
      <c r="N10" s="20">
        <f t="shared" si="1"/>
        <v>3820042.32</v>
      </c>
      <c r="O10" s="20">
        <f t="shared" si="1"/>
        <v>4063517.96</v>
      </c>
      <c r="P10" s="20">
        <f t="shared" si="1"/>
        <v>4985810.97</v>
      </c>
      <c r="Q10" s="20">
        <f t="shared" si="1"/>
        <v>4401559.13</v>
      </c>
      <c r="R10" s="20">
        <f t="shared" si="1"/>
        <v>5306421.6414</v>
      </c>
      <c r="S10" s="20">
        <f t="shared" si="1"/>
        <v>5090126.505</v>
      </c>
      <c r="T10" s="20">
        <f t="shared" si="1"/>
        <v>5683880.48</v>
      </c>
      <c r="U10" s="20">
        <f>U7-U8-U9</f>
        <v>3326955.66064652</v>
      </c>
      <c r="V10" s="2"/>
    </row>
    <row r="11" ht="31.05" customHeight="1" spans="1:22">
      <c r="A11" s="2"/>
      <c r="B11" s="10" t="s">
        <v>18</v>
      </c>
      <c r="C11" s="11"/>
      <c r="D11" s="15">
        <f t="shared" ref="D11:K11" si="2">D10/D7</f>
        <v>0.438124266619059</v>
      </c>
      <c r="E11" s="15">
        <f t="shared" si="2"/>
        <v>0.453203759441687</v>
      </c>
      <c r="F11" s="15">
        <f t="shared" si="2"/>
        <v>0.42306576112649</v>
      </c>
      <c r="G11" s="15">
        <f t="shared" si="2"/>
        <v>0.431628310041657</v>
      </c>
      <c r="H11" s="15">
        <f t="shared" si="2"/>
        <v>0.495058427961763</v>
      </c>
      <c r="I11" s="15">
        <f t="shared" si="2"/>
        <v>0.539591583591834</v>
      </c>
      <c r="J11" s="15">
        <f t="shared" si="2"/>
        <v>0.602389912898163</v>
      </c>
      <c r="K11" s="15">
        <f t="shared" si="2"/>
        <v>0.540102113965105</v>
      </c>
      <c r="L11" s="15">
        <f t="shared" ref="L11:N11" si="3">L10/L7</f>
        <v>0.622304908769602</v>
      </c>
      <c r="M11" s="21">
        <f t="shared" si="3"/>
        <v>0.585923787634307</v>
      </c>
      <c r="N11" s="21">
        <f t="shared" si="3"/>
        <v>0.576174065143615</v>
      </c>
      <c r="O11" s="21">
        <f t="shared" ref="O11:P11" si="4">O10/O7</f>
        <v>0.693987875963281</v>
      </c>
      <c r="P11" s="21">
        <f t="shared" si="4"/>
        <v>0.674971890639637</v>
      </c>
      <c r="Q11" s="21">
        <f t="shared" ref="Q11:R11" si="5">Q10/Q7</f>
        <v>0.561552793472197</v>
      </c>
      <c r="R11" s="21">
        <f t="shared" si="5"/>
        <v>0.621378837365779</v>
      </c>
      <c r="S11" s="21">
        <f t="shared" ref="S11:T11" si="6">S10/S7</f>
        <v>0.596264216269538</v>
      </c>
      <c r="T11" s="21">
        <f t="shared" si="6"/>
        <v>0.735201714540938</v>
      </c>
      <c r="U11" s="21">
        <f>U10/U7</f>
        <v>0.526385268560932</v>
      </c>
      <c r="V11" s="2"/>
    </row>
    <row r="12" customHeight="1" spans="1:2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customHeight="1" spans="1:2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customHeight="1" spans="1:2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customHeight="1" spans="1:2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customHeight="1" spans="1:2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customHeight="1" spans="1:2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customHeight="1" spans="1:2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customHeight="1" spans="1:2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customHeight="1" spans="1:2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customHeight="1" spans="1:2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customHeight="1" spans="1: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customHeight="1" spans="1:2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customHeight="1" spans="1:2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customHeight="1" spans="1:2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customHeight="1" spans="1:2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customHeight="1" spans="1:2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31.2" customHeight="1" spans="1:2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32" customHeight="1" spans="1:22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</sheetData>
  <mergeCells count="8">
    <mergeCell ref="B2:R2"/>
    <mergeCell ref="B6:C6"/>
    <mergeCell ref="B7:C7"/>
    <mergeCell ref="B8:C8"/>
    <mergeCell ref="B9:C9"/>
    <mergeCell ref="B10:C10"/>
    <mergeCell ref="B11:C11"/>
    <mergeCell ref="B32:P32"/>
  </mergeCells>
  <pageMargins left="0.236220472440945" right="0.236220472440945" top="0.748031496062992" bottom="0.748031496062992" header="0.31496062992126" footer="0.31496062992126"/>
  <pageSetup paperSize="9" scale="5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T32"/>
  <sheetViews>
    <sheetView showGridLines="0" tabSelected="1" topLeftCell="A2" workbookViewId="0">
      <selection activeCell="R9" sqref="R9"/>
    </sheetView>
  </sheetViews>
  <sheetFormatPr defaultColWidth="9" defaultRowHeight="25.05" customHeight="1"/>
  <cols>
    <col min="1" max="1" width="2.66666666666667" style="1" customWidth="1"/>
    <col min="2" max="2" width="9.77777777777778" style="1" customWidth="1"/>
    <col min="3" max="3" width="10.1111111111111" style="1" customWidth="1"/>
    <col min="4" max="15" width="15.7777777777778" style="1" customWidth="1"/>
    <col min="16" max="16" width="16" style="1" customWidth="1"/>
    <col min="17" max="17" width="17.6666666666667" style="1" customWidth="1"/>
    <col min="18" max="19" width="19.7777777777778" style="1" customWidth="1"/>
    <col min="20" max="20" width="3" style="1" customWidth="1"/>
    <col min="21" max="16384" width="9" style="1"/>
  </cols>
  <sheetData>
    <row r="1" ht="16.95" customHeight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43.05" customHeight="1" spans="1:20">
      <c r="A2" s="2"/>
      <c r="B2" s="3" t="s">
        <v>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  <c r="T2" s="2"/>
    </row>
    <row r="3" ht="21" customHeight="1" spans="1:2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48" customHeight="1" spans="1:20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3.95" customHeight="1" spans="1:2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customHeight="1" spans="1:20">
      <c r="A6" s="2"/>
      <c r="B6" s="2"/>
      <c r="C6" s="2"/>
      <c r="D6" s="2"/>
      <c r="E6" s="2"/>
      <c r="F6" s="4" t="s">
        <v>1</v>
      </c>
      <c r="G6" s="5"/>
      <c r="H6" s="6" t="s">
        <v>11</v>
      </c>
      <c r="I6" s="6" t="s">
        <v>12</v>
      </c>
      <c r="J6" s="6" t="s">
        <v>13</v>
      </c>
      <c r="K6" s="6" t="s">
        <v>2</v>
      </c>
      <c r="L6" s="6" t="s">
        <v>3</v>
      </c>
      <c r="M6" s="6" t="s">
        <v>4</v>
      </c>
      <c r="N6" s="6" t="s">
        <v>5</v>
      </c>
      <c r="O6" s="6" t="s">
        <v>6</v>
      </c>
      <c r="P6" s="6" t="s">
        <v>10</v>
      </c>
      <c r="Q6" s="2"/>
      <c r="R6" s="2"/>
      <c r="S6" s="2"/>
      <c r="T6" s="2"/>
    </row>
    <row r="7" ht="31.05" customHeight="1" spans="1:20">
      <c r="A7" s="2"/>
      <c r="B7" s="2"/>
      <c r="C7" s="2"/>
      <c r="D7" s="2"/>
      <c r="E7" s="2"/>
      <c r="F7" s="7" t="s">
        <v>14</v>
      </c>
      <c r="G7" s="8"/>
      <c r="H7" s="9" t="s">
        <v>20</v>
      </c>
      <c r="I7" s="9" t="s">
        <v>20</v>
      </c>
      <c r="J7" s="9" t="s">
        <v>20</v>
      </c>
      <c r="K7" s="9" t="s">
        <v>20</v>
      </c>
      <c r="L7" s="9">
        <v>2543906.5</v>
      </c>
      <c r="M7" s="9">
        <v>3523407.6</v>
      </c>
      <c r="N7" s="9">
        <v>3793199.8</v>
      </c>
      <c r="O7" s="9">
        <v>4451635.4</v>
      </c>
      <c r="P7" s="9">
        <v>2445443.6</v>
      </c>
      <c r="Q7" s="2"/>
      <c r="R7" s="2"/>
      <c r="S7" s="2"/>
      <c r="T7" s="2"/>
    </row>
    <row r="8" ht="31.05" customHeight="1" spans="1:20">
      <c r="A8" s="2"/>
      <c r="B8" s="2"/>
      <c r="C8" s="2"/>
      <c r="D8" s="2"/>
      <c r="E8" s="2"/>
      <c r="F8" s="10" t="s">
        <v>15</v>
      </c>
      <c r="G8" s="11"/>
      <c r="H8" s="9" t="s">
        <v>20</v>
      </c>
      <c r="I8" s="9" t="s">
        <v>20</v>
      </c>
      <c r="J8" s="9" t="s">
        <v>20</v>
      </c>
      <c r="K8" s="9" t="s">
        <v>20</v>
      </c>
      <c r="L8" s="12">
        <v>1797126.202</v>
      </c>
      <c r="M8" s="12">
        <v>3008739.874</v>
      </c>
      <c r="N8" s="12">
        <v>2655631.378</v>
      </c>
      <c r="O8" s="12">
        <v>3697330</v>
      </c>
      <c r="P8" s="12">
        <v>1026067.733246</v>
      </c>
      <c r="Q8" s="2"/>
      <c r="R8" s="2"/>
      <c r="S8" s="2"/>
      <c r="T8" s="2"/>
    </row>
    <row r="9" ht="31.05" customHeight="1" spans="1:20">
      <c r="A9" s="2"/>
      <c r="B9" s="2"/>
      <c r="C9" s="2"/>
      <c r="D9" s="2"/>
      <c r="E9" s="2"/>
      <c r="F9" s="7" t="s">
        <v>16</v>
      </c>
      <c r="G9" s="8"/>
      <c r="H9" s="9" t="s">
        <v>20</v>
      </c>
      <c r="I9" s="9" t="s">
        <v>20</v>
      </c>
      <c r="J9" s="9" t="s">
        <v>20</v>
      </c>
      <c r="K9" s="9" t="s">
        <v>20</v>
      </c>
      <c r="L9" s="13">
        <v>0</v>
      </c>
      <c r="M9" s="9">
        <v>0</v>
      </c>
      <c r="N9" s="9">
        <v>0</v>
      </c>
      <c r="O9" s="9">
        <v>790846.8</v>
      </c>
      <c r="P9" s="9">
        <v>1895650.6</v>
      </c>
      <c r="Q9" s="2"/>
      <c r="R9" s="2"/>
      <c r="S9" s="2"/>
      <c r="T9" s="2"/>
    </row>
    <row r="10" ht="31.05" customHeight="1" spans="1:20">
      <c r="A10" s="2"/>
      <c r="B10" s="2"/>
      <c r="C10" s="2"/>
      <c r="D10" s="2"/>
      <c r="E10" s="2"/>
      <c r="F10" s="7" t="s">
        <v>17</v>
      </c>
      <c r="G10" s="8"/>
      <c r="H10" s="9" t="s">
        <v>20</v>
      </c>
      <c r="I10" s="9" t="s">
        <v>20</v>
      </c>
      <c r="J10" s="9" t="s">
        <v>20</v>
      </c>
      <c r="K10" s="9" t="s">
        <v>20</v>
      </c>
      <c r="L10" s="14">
        <f t="shared" ref="L10:O10" si="0">L7-L8-L9</f>
        <v>746780.298</v>
      </c>
      <c r="M10" s="14">
        <f t="shared" si="0"/>
        <v>514667.726</v>
      </c>
      <c r="N10" s="14">
        <f t="shared" si="0"/>
        <v>1137568.422</v>
      </c>
      <c r="O10" s="14">
        <f t="shared" si="0"/>
        <v>-36541.3999999997</v>
      </c>
      <c r="P10" s="14">
        <f>P7-P8-P9</f>
        <v>-476274.733246</v>
      </c>
      <c r="Q10" s="2"/>
      <c r="R10" s="2"/>
      <c r="S10" s="2"/>
      <c r="T10" s="2"/>
    </row>
    <row r="11" ht="31.05" customHeight="1" spans="1:20">
      <c r="A11" s="2"/>
      <c r="B11" s="2"/>
      <c r="C11" s="2"/>
      <c r="D11" s="2"/>
      <c r="E11" s="2"/>
      <c r="F11" s="10" t="s">
        <v>18</v>
      </c>
      <c r="G11" s="11"/>
      <c r="H11" s="9" t="s">
        <v>20</v>
      </c>
      <c r="I11" s="9" t="s">
        <v>20</v>
      </c>
      <c r="J11" s="9" t="s">
        <v>20</v>
      </c>
      <c r="K11" s="9" t="s">
        <v>20</v>
      </c>
      <c r="L11" s="15">
        <f>L10/L7</f>
        <v>0.293556503747288</v>
      </c>
      <c r="M11" s="15">
        <f>M10/M7</f>
        <v>0.146071015456741</v>
      </c>
      <c r="N11" s="15">
        <f>N10/N7</f>
        <v>0.29989678424005</v>
      </c>
      <c r="O11" s="15">
        <f>O10/O7</f>
        <v>-0.00820853387948161</v>
      </c>
      <c r="P11" s="15">
        <f>P10/P7</f>
        <v>-0.194760056312891</v>
      </c>
      <c r="Q11" s="2"/>
      <c r="R11" s="2"/>
      <c r="S11" s="2"/>
      <c r="T11" s="2"/>
    </row>
    <row r="12" customHeight="1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customHeight="1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customHeight="1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customHeight="1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customHeight="1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customHeight="1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customHeight="1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customHeight="1" spans="1:20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customHeight="1" spans="1: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customHeight="1" spans="1:2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customHeight="1" spans="1:2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customHeight="1" spans="1:2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customHeight="1" spans="1:2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customHeight="1" spans="1:2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customHeight="1" spans="1:2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customHeight="1" spans="1:2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31.2" customHeight="1" spans="1:2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32" customHeight="1" spans="1:20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</sheetData>
  <mergeCells count="2">
    <mergeCell ref="B2:R2"/>
    <mergeCell ref="B32:P32"/>
  </mergeCells>
  <pageMargins left="0.236220472440945" right="0.236220472440945" top="0.748031496062992" bottom="0.748031496062992" header="0.31496062992126" footer="0.31496062992126"/>
  <pageSetup paperSize="9" scale="5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旧盘</vt:lpstr>
      <vt:lpstr>新盘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16094</cp:lastModifiedBy>
  <dcterms:created xsi:type="dcterms:W3CDTF">2021-08-30T06:57:00Z</dcterms:created>
  <cp:lastPrinted>2025-05-07T01:44:00Z</cp:lastPrinted>
  <dcterms:modified xsi:type="dcterms:W3CDTF">2026-02-01T16:20:45Z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047805E991C14214AD1C7F9CEDBE9A96</vt:lpwstr>
  </property>
  <property fmtid="{D5CDD505-2E9C-101B-9397-08002B2CF9AE}" pid="3" name="KSOProductBuildVer">
    <vt:lpwstr>2052-12.1.0.24657</vt:lpwstr>
  </property>
  <property fmtid="{D5CDD505-2E9C-101B-9397-08002B2CF9AE}" pid="4" name="KSOTemplateUUID">
    <vt:lpwstr>v1.0_mb_BJ7TLjAV3vqx/sNqk0tldg==</vt:lpwstr>
  </property>
  <property fmtid="{D5CDD505-2E9C-101B-9397-08002B2CF9AE}" pid="5" name="CalculationRule">
    <vt:i4>0</vt:i4>
  </property>
</Properties>
</file>